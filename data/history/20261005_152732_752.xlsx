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a365-my.sharepoint.com/personal/puwadol_suk_pea_co_th/Documents/รายงานสถานะสายส่ง และสถานีไฟฟ้า/"/>
    </mc:Choice>
  </mc:AlternateContent>
  <xr:revisionPtr revIDLastSave="10" documentId="13_ncr:1_{C75F3BAD-8254-4646-B412-781DDB70F3BA}" xr6:coauthVersionLast="47" xr6:coauthVersionMax="47" xr10:uidLastSave="{BEEE59C1-45A2-4DF8-9290-091B4A7F1036}"/>
  <bookViews>
    <workbookView xWindow="-108" yWindow="-108" windowWidth="23256" windowHeight="13896" tabRatio="945" activeTab="8" xr2:uid="{00000000-000D-0000-FFFF-FFFF00000000}"/>
  </bookViews>
  <sheets>
    <sheet name="สถานะสายส่ง (แนบ 1)" sheetId="6" r:id="rId1"/>
    <sheet name="สรุปสถานี (แนบ 2-1)" sheetId="1" r:id="rId2"/>
    <sheet name="รายละเอียดสถานี (แนบ 2-2)" sheetId="7" r:id="rId3"/>
    <sheet name="สถานะการขออนุญาต" sheetId="9" r:id="rId4"/>
    <sheet name="สาคร14" sheetId="10" r:id="rId5"/>
    <sheet name="สาคร18" sheetId="12" r:id="rId6"/>
    <sheet name="กาญ5" sheetId="13" r:id="rId7"/>
    <sheet name="สมุทรสาคร 18 (ช)" sheetId="14" r:id="rId8"/>
    <sheet name="กาญจนบุรี 5 (ช)" sheetId="15" r:id="rId9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_xlnm.Print_Area" localSheetId="6">กาญ5!$A$1:$W$24</definedName>
    <definedName name="_xlnm.Print_Area" localSheetId="2">'รายละเอียดสถานี (แนบ 2-2)'!$A$1:$L$9</definedName>
    <definedName name="_xlnm.Print_Area" localSheetId="3">สถานะการขออนุญาต!$A$1:$F$16</definedName>
    <definedName name="_xlnm.Print_Area" localSheetId="0">'สถานะสายส่ง (แนบ 1)'!$A$1:$T$10</definedName>
    <definedName name="_xlnm.Print_Area" localSheetId="1">'สรุปสถานี (แนบ 2-1)'!$A$1:$L$38</definedName>
    <definedName name="_xlnm.Print_Area" localSheetId="4">สาคร14!$A$1:$W$20</definedName>
    <definedName name="_xlnm.Print_Area" localSheetId="5">สาคร18!$A$1:$W$14</definedName>
    <definedName name="_xlnm.Print_Titles" localSheetId="2">'รายละเอียดสถานี (แนบ 2-2)'!$4:$4</definedName>
    <definedName name="_xlnm.Print_Titles" localSheetId="0">'สถานะสายส่ง (แนบ 1)'!$4:$5</definedName>
    <definedName name="TitleRegion..BO60">#REF!</definedName>
    <definedName name="ตามที่เป็นจริง">(PeriodInActual*(#REF!&gt;0))*PeriodInPlan</definedName>
    <definedName name="แผน">PeriodInPlan*(#REF!&gt;0)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6" l="1"/>
  <c r="U14" i="6"/>
  <c r="U13" i="6"/>
  <c r="U12" i="6"/>
  <c r="S6" i="6" l="1"/>
  <c r="S8" i="6" l="1"/>
  <c r="S10" i="6" l="1"/>
  <c r="AT34" i="15"/>
  <c r="AT32" i="15"/>
  <c r="AT30" i="15"/>
  <c r="AT28" i="15"/>
  <c r="AT26" i="15"/>
  <c r="AT24" i="15"/>
  <c r="AT22" i="15"/>
  <c r="AT20" i="15"/>
  <c r="AT18" i="15"/>
  <c r="AT16" i="15"/>
  <c r="AT14" i="15"/>
  <c r="AT12" i="15"/>
  <c r="AT10" i="15"/>
  <c r="AT8" i="15"/>
  <c r="AT6" i="15"/>
  <c r="AT4" i="15"/>
  <c r="AH34" i="14"/>
  <c r="AH32" i="14"/>
  <c r="AH30" i="14"/>
  <c r="AH28" i="14"/>
  <c r="AH26" i="14"/>
  <c r="AH24" i="14"/>
  <c r="AH22" i="14"/>
  <c r="AH20" i="14"/>
  <c r="AH18" i="14"/>
  <c r="AH16" i="14"/>
  <c r="AH14" i="14"/>
  <c r="AH12" i="14"/>
  <c r="AH10" i="14"/>
  <c r="AH8" i="14"/>
  <c r="AH6" i="14"/>
  <c r="AH4" i="14"/>
  <c r="AH36" i="14" l="1"/>
  <c r="AT36" i="15"/>
  <c r="S9" i="6"/>
  <c r="S7" i="6"/>
  <c r="D6" i="6"/>
</calcChain>
</file>

<file path=xl/sharedStrings.xml><?xml version="1.0" encoding="utf-8"?>
<sst xmlns="http://schemas.openxmlformats.org/spreadsheetml/2006/main" count="603" uniqueCount="337">
  <si>
    <t>เอกสารแนบ 1</t>
  </si>
  <si>
    <t>ที่</t>
  </si>
  <si>
    <t>โครงการ</t>
  </si>
  <si>
    <t>ชื่องานก่อสร้าง วงจร -กม.</t>
  </si>
  <si>
    <t>วงจร-กม.</t>
  </si>
  <si>
    <t>ผู้ก่อสร้าง</t>
  </si>
  <si>
    <t>หมายเหตุ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</si>
  <si>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</si>
  <si>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</si>
  <si>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</si>
  <si>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</si>
  <si>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</si>
  <si>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</si>
  <si>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</si>
  <si>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</si>
  <si>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</si>
  <si>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</si>
  <si>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</si>
  <si>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</si>
  <si>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คพจ.1</t>
  </si>
  <si>
    <t>กกฟ.2</t>
  </si>
  <si>
    <t>คพจ.2</t>
  </si>
  <si>
    <t>กรย.(ก3)</t>
  </si>
  <si>
    <t>Cut&amp;Turn (สถานีไฟฟ้าสมุทรสาคร 4-สถานีไฟฟ้าสมุทรสาคร 5)-สถานีไฟฟ้าสมุทรสาคร 11</t>
  </si>
  <si>
    <t>งบลงทุน</t>
  </si>
  <si>
    <t>เพิ่มจุดจ่ายไฟที่ 2 สถานีไฟฟ้าแรงสูงกำแพงแสน (กฟผ.) ถึงสามแยกตลาดกำแพงแสน</t>
  </si>
  <si>
    <t>งบลงทุน(เร่งด่วน)</t>
  </si>
  <si>
    <t>Tap line (สถานีไฟฟ้าสมุทรสาคร 6 - สถานีไฟฟ้าสินสาคร) - สถานีไฟฟ้าสมุทรสาคร 14 (ชั่วคราว)</t>
  </si>
  <si>
    <t>เอกสารแนบ 2</t>
  </si>
  <si>
    <t>แผนงาน</t>
  </si>
  <si>
    <t>ปริมาณทั้งหมด (แห่ง)</t>
  </si>
  <si>
    <t>ก่อสร้างแล้วเสร็จ</t>
  </si>
  <si>
    <t>อยู่ระหว่างการก่อสร้าง</t>
  </si>
  <si>
    <t>หยุดงานก่อสร้าง</t>
  </si>
  <si>
    <t>อยู่ระหว่างจัดหาที่ดิน, ออกแบบ  หาผู้รับจ้าง</t>
  </si>
  <si>
    <t>ยกเลิก</t>
  </si>
  <si>
    <t>จำนวน</t>
  </si>
  <si>
    <t>สถานี</t>
  </si>
  <si>
    <t>แผนงานที่ 1 (สถานีใหม่)</t>
  </si>
  <si>
    <t>กาญจนบุรี 3</t>
  </si>
  <si>
    <t>เลาขวัญ</t>
  </si>
  <si>
    <t>นครปฐม 4</t>
  </si>
  <si>
    <t>สามชุก</t>
  </si>
  <si>
    <t>สมุทรสาคร 14</t>
  </si>
  <si>
    <t>สุพรรณบุรี 2</t>
  </si>
  <si>
    <t>บ้านแพ้ว 2</t>
  </si>
  <si>
    <t>สมุทรสาคร 15</t>
  </si>
  <si>
    <t>แผนงานที่ 1 (เพิ่มหม้อแปลง)</t>
  </si>
  <si>
    <t>ดอนเจดีย์ (50 MVA)</t>
  </si>
  <si>
    <t>บ่อพลอย (50 MVA)</t>
  </si>
  <si>
    <t>แผนงานที่ 2 (Renovate)</t>
  </si>
  <si>
    <t>สมุทรสาคร 3</t>
  </si>
  <si>
    <t>รวม</t>
  </si>
  <si>
    <t>สมุทรสาคร 10</t>
  </si>
  <si>
    <t>กระทุ่มแบน 7 (รอซื้อที่ดินจาก กฟผ.)</t>
  </si>
  <si>
    <t>สมุทรสาคร 11</t>
  </si>
  <si>
    <t>บ้านโป่ง 3</t>
  </si>
  <si>
    <t>อ้อมน้อย 5</t>
  </si>
  <si>
    <t>ท่ามะกา 2</t>
  </si>
  <si>
    <t>ท่าม่วง 2</t>
  </si>
  <si>
    <t>กระทุ่มแบน 6</t>
  </si>
  <si>
    <t>สมุทรสาคร 16</t>
  </si>
  <si>
    <t>พุทธมณฑล 3</t>
  </si>
  <si>
    <t>สมุทรสาคร 13 (พร้อม คพจ.1)</t>
  </si>
  <si>
    <t>สมุทรสาคร 1</t>
  </si>
  <si>
    <t>ท่าทราย 1</t>
  </si>
  <si>
    <t>สถานีไฟฟ้า
ชั่วคราว</t>
  </si>
  <si>
    <t>สมุทรสาคร 16 (ชั่วคราว)</t>
  </si>
  <si>
    <t>อ้อมน้อย 1 (ชั่วคราว)</t>
  </si>
  <si>
    <t>สมุทรสาคร 14 (ชั่วคราว)</t>
  </si>
  <si>
    <t>สมุทรสาคร 17 (ชั่วคราว)</t>
  </si>
  <si>
    <t>สถานีไฟฟ้า</t>
  </si>
  <si>
    <t>WBS</t>
  </si>
  <si>
    <t>ผู้รับจ้าง</t>
  </si>
  <si>
    <t>สัญญา</t>
  </si>
  <si>
    <t>ระยะเวลา</t>
  </si>
  <si>
    <t>ผู้บริหารสัญญา</t>
  </si>
  <si>
    <t>ผลงานความก้าวหน้า</t>
  </si>
  <si>
    <t>ผู้ควบคุมงาน</t>
  </si>
  <si>
    <t>คณะกรรมการตรวจรับฯ</t>
  </si>
  <si>
    <t>สถานะงานก่อสร้าง</t>
  </si>
  <si>
    <t>กจค.2(บก2)</t>
  </si>
  <si>
    <t>นายจักรพันธ์ นรเหรียญ
พชง.6 ผจส.กรย.(ก3)</t>
  </si>
  <si>
    <t>บริษัท อาร์ เอส เอส 2016 จำกัด (มหาชน)</t>
  </si>
  <si>
    <t>นายกำพล ตุ้ยเต็มวงค์
อก.รย.(ก3)</t>
  </si>
  <si>
    <t>ท่าทราย 1 Renovate</t>
  </si>
  <si>
    <t>P-TDD02.2-I-SMNS1.THS2.4</t>
  </si>
  <si>
    <t>กฟภ. ดำเนินการเอง</t>
  </si>
  <si>
    <t>-</t>
  </si>
  <si>
    <t>I-68-I-KKHXX.IS.1000</t>
  </si>
  <si>
    <t>นายวัชระ เวทีภิรมย์
พชง.7 ผจส.กรย.(ก3)</t>
  </si>
  <si>
    <t>I-68-I-SMNXX.19.3911</t>
  </si>
  <si>
    <t>ประเภทงาน</t>
  </si>
  <si>
    <t>รายชื่องานก่อสร้าง</t>
  </si>
  <si>
    <t>รายละเอียดงานที่ขออนุญาต</t>
  </si>
  <si>
    <t>หน่วยงานเจ้าของพื้นที่</t>
  </si>
  <si>
    <t>สถานะการขออนุญาต</t>
  </si>
  <si>
    <t>งานก่อสร้างสถานีไฟฟ้าสมุทรสาคร 16</t>
  </si>
  <si>
    <t>สะพานทางเชื่อมเข้าสถานีไฟฟ้า</t>
  </si>
  <si>
    <t>คลองส่งน้ำดำเนินสะดวก</t>
  </si>
  <si>
    <t>งานก่อสร้างสถานีไฟฟ้าสมุทรสาคร 13</t>
  </si>
  <si>
    <t>แจ้งก่อสร้างสถานี</t>
  </si>
  <si>
    <t>ขอดันท่อลอด</t>
  </si>
  <si>
    <t>แขวงทางหลวงชนบทสมุทรสาคร</t>
  </si>
  <si>
    <t>ขอปักเสาพาดสาย</t>
  </si>
  <si>
    <t>แขวงทางหลวงกาญจนบุรี</t>
  </si>
  <si>
    <t>สายส่ง 115 kV</t>
  </si>
  <si>
    <t>แขวงทางหลวงนครปฐม</t>
  </si>
  <si>
    <t>งานก่อสร้างสายส่ง 115 เควี รองรับสถานีไฟฟ้าสมุทรสาคร 18 (ชั่วคราว)</t>
  </si>
  <si>
    <t>พื้นที่เอกชน</t>
  </si>
  <si>
    <t>งานเชื่อมโยงสายส่งระบบ 115 เควี สถานีไฟฟ้าบริษัท ลูมินัส เอ็นเนอร์ยี จำกัด (SPP)</t>
  </si>
  <si>
    <t>แขวงทางหลวงสุพรรณบุรีที่ 1</t>
  </si>
  <si>
    <t>งานเชื่อมโยงสายส่งระบบ 115 เควี สถานีไฟฟ้าบริษัท สยาม ไชนนิ่ง เอ็นเนอร์ยี จำกัด (SPP)</t>
  </si>
  <si>
    <t>ผลงานสะสม ปี  2568
(%)</t>
  </si>
  <si>
    <t>ผลการดำเนินการปี 2569</t>
  </si>
  <si>
    <t>สมุทรสาคร 18 (ชั่วคราว)</t>
  </si>
  <si>
    <t>กาญจนบุรี 5 (ชั่วคราว)</t>
  </si>
  <si>
    <t>แจ้งถมดิน</t>
  </si>
  <si>
    <t>งบลงทุนประจำปี 2568</t>
  </si>
  <si>
    <t>1. นายสมชาย โคตรพัฒน์     รฝ.บก2
2. นายพัทธนันท์ พชิราสุวรรณ์ชล     รฝ.ปบ.(ก3)
3. นายนันทวิทย์ อุยยามวงศ์     วศก.9 กจค.2(บก1)</t>
  </si>
  <si>
    <t>งานก่อสร้างสายส่ง รองรับสถานีไฟฟ้ากาญจนบุรี 5 (ชั่วคราว)</t>
  </si>
  <si>
    <t>งานก่อสร้างแล้วเสร็จ
AC Withstand เมื่อวันที่ 20 กุมภาพันธ์ 2569 
จ่ายไฟวันที่ 22 กุมภาพันธ์ 2569</t>
  </si>
  <si>
    <t>งานก่อสร้างสายส่ง 115 เควี เพิ่มจุดจ่ายไฟที่ 2 สถานีไฟฟ้าแรงสูงกำแพงแสน (กฟผ.) ถึงสามแยกตลาดกำแพงแสน</t>
  </si>
  <si>
    <t>เทศบาลนครอ้อมน้อย</t>
  </si>
  <si>
    <t>ขอปักเสาในพื้นที่แขวงทางหลวง</t>
  </si>
  <si>
    <t>อยู่ระหว่างแขวงทางหลวงกาญจนบุรี พิจารณา</t>
  </si>
  <si>
    <t>นายพลากร จงอมรสิริเกษม
พชง.3 ผจร.กรย.(ก3)</t>
  </si>
  <si>
    <t>ขอทางเชื่อม</t>
  </si>
  <si>
    <t>ได้รับอนุญาตแล้ว 
ตามหนังสือที่ คค 0703.61/714 ลงวันที่ 6 มีนาคม 2569</t>
  </si>
  <si>
    <t>เทศบาลนครพันท้ายนรสิงห์ รับทราบแล้ว 
ตามหนังสือที่ สค 53503/580 ลงวันที่ 18 มีนาคม 2569</t>
  </si>
  <si>
    <t>ได้รับอนุญาตแล้ว 
ตามหนังสือที่ คค 06143/60/2579 ลงวันที่ 30 มีนาคม 2569</t>
  </si>
  <si>
    <t>ได้รับอนุญาตแล้ว 
ตามหนังสือที่ คค 06143/59/2302 ลงวันที่ 19 มีนาคม 2569</t>
  </si>
  <si>
    <t>ได้รับอนุญาตแล้ว 
ตามหนังสือที่ คค 06143/61/2392 ลงวันที่ 23 มีนาคม 2569</t>
  </si>
  <si>
    <t>ได้รับอนุญาตแล้ว ตามหนังสือที่ คค 06089/ส.2(22-69)/1037 ลงวันที่ 22 เมษายน 2569</t>
  </si>
  <si>
    <t>อยู่ระหว่างเทศบาลนครอ้อมน้อย พิจารณา
เทศบาลนครอ้อมน้อยนัดดูพื้นที่เรียบร้อยแล้ว</t>
  </si>
  <si>
    <t>อยู่ระหว่าง กวว.(ก3) ประสานส่วนเกี่ยวข้องพิจารณาตำแหน่งต้น Riser Pole</t>
  </si>
  <si>
    <t>ผลงานสะสม ถึงปัจจุบัน
(%)</t>
  </si>
  <si>
    <t>ได้รับอนุญาตแล้ว ตามหนังสือที่ คค 0703.61/905 ลงวันที่ 30 มีนาคม 2569</t>
  </si>
  <si>
    <t>งานก่อสร้างฐานรากเสาและสมอบกคอนกรีต ดำเนินการแล้ว 185 ฐาน
งานปักเสา คอร. 22 เมตร ดำเนินการแล้ว 181 ต้น
งานพาดสายไฟฟ้าและติดตั้งอุปกรณ์ ดำเนินการแล้ว 41,586/43,158 เมตร
อยู่ระหว่างรอดับไฟเพื่อติดตั้งเสา Monopole มีแผนดำเนินการวันที่ 
24 พฤษภาคม 2569</t>
  </si>
  <si>
    <t>งานก่อสร้างแล้วเสร็จ
AC Withstand Voltage Test เมื่อวันที่ 2 - 3 พฤษภาคม 2569</t>
  </si>
  <si>
    <t>582 
(540+42+32)</t>
  </si>
  <si>
    <t>1/10/67 - 7/6/69</t>
  </si>
  <si>
    <t>งานก่อสร้างสถานีไฟฟ้าสมุทรสาคร 14 (ชั่วค</t>
  </si>
  <si>
    <t>งานปรับปรุงที่ดิน</t>
  </si>
  <si>
    <t>งานก่อสร้างถนนลูกรังและหินคลุกบดอัดแน่น</t>
  </si>
  <si>
    <t>งานโยธา</t>
  </si>
  <si>
    <t>งานลงหินเบอร์ 2</t>
  </si>
  <si>
    <t>ระบบ CSCS</t>
  </si>
  <si>
    <t>งานก่อสร้าง สฟฟ.สค.14(ชค)</t>
  </si>
  <si>
    <t>งานติดตั้งระบบ Fire Alarm</t>
  </si>
  <si>
    <t>งานก่อสร้างเสาเหล็ก Monopole</t>
  </si>
  <si>
    <t>ก่อสร้างสายส่ง 115kV</t>
  </si>
  <si>
    <t>งานติดตั้ง SF6 (XMU03S-02) TIELINE</t>
  </si>
  <si>
    <t>งานติดตั้ง SF6 (XMU01S-02) TIELINE</t>
  </si>
  <si>
    <t>งานติดตั้ง SF6 (XMU10S-08) TIELINE</t>
  </si>
  <si>
    <t>งานติดตั้ง SF6 เเทน DIS หน้าวัดโกรกกราก</t>
  </si>
  <si>
    <t>งานติดตั้ง SF6 เเทน DIS คลองกระโจน</t>
  </si>
  <si>
    <t>งานติดตั้ง SF6 (SMF03S-14) TIELINE</t>
  </si>
  <si>
    <t>งานติดตั้ง SF6 เเทน DIS ซอยคลองหลวง</t>
  </si>
  <si>
    <t>งานปรับปรุงเคเบิลใยเเก้วนำเเสงเข้า สค.14</t>
  </si>
  <si>
    <t>ปป.22kV หน้า สฟฟ.ท่ามะกา 2(ชค)</t>
  </si>
  <si>
    <t>I-68-I-KKHXX.IS.1001</t>
  </si>
  <si>
    <t>I-68-I-KKHXX.IS.1002</t>
  </si>
  <si>
    <t>I-68-I-KKHXX.IS.1003</t>
  </si>
  <si>
    <t>I-68-I-KKHXX.IS.1004</t>
  </si>
  <si>
    <t>I-68-I-KKHXX.IS.1005</t>
  </si>
  <si>
    <t>I-68-I-KKHXX.IS.1007</t>
  </si>
  <si>
    <t>I-68-I-KKHXX.IS.1009</t>
  </si>
  <si>
    <t>I-68-I-KKHXX.IS.1010</t>
  </si>
  <si>
    <t>I-68-I-KKHXX.IS.1011</t>
  </si>
  <si>
    <t>I-68-I-KKHXX.IS.1012</t>
  </si>
  <si>
    <t>I-68-I-KKHXX.IS.1013</t>
  </si>
  <si>
    <t>I-68-I-KKHXX.IS.1014</t>
  </si>
  <si>
    <t>I-68-I-KKHXX.IS.1015</t>
  </si>
  <si>
    <t>I-68-I-KKHXX.IS.1016</t>
  </si>
  <si>
    <t>I-68-I-KKHXX.IS.1017</t>
  </si>
  <si>
    <t>I-68-I-KKHXX.IS.1018</t>
  </si>
  <si>
    <t>I-68-I-KKHXX.IS.1019</t>
  </si>
  <si>
    <t>I-68-I-TARXX.IS.1001</t>
  </si>
  <si>
    <t>งานก่อสร้างปรับปรุงสถานีไฟฟ้าอ้อมน้อย 1</t>
  </si>
  <si>
    <t>งบลงทุนเร่งด่วน ปี 2569</t>
  </si>
  <si>
    <t>I-69-I-KCI01.19.3907</t>
  </si>
  <si>
    <t>งบลงทุนเร่งด่วน ปี 2568</t>
  </si>
  <si>
    <t>I-69-I-BNCXX.19.3904</t>
  </si>
  <si>
    <t>งบลงทุนเร่งด่วนประจำปี 2569</t>
  </si>
  <si>
    <t>งานก่อสร้างแล้วเสร็จ
AC Withstand Voltage Test เมื่อวันที่ 28 - 29 มิถุนายน 2569
จ่ายไฟวันที่ 1 กรกฎาคม 2569</t>
  </si>
  <si>
    <t>สมุทรสาคร 13 
(คาดได้ผู้รับจ้างไตรมาส 4 ปี 2569)</t>
  </si>
  <si>
    <t>อ้อมน้อย 1 
(คาดได้ผู้รับจ้าง ปี 2570)</t>
  </si>
  <si>
    <t>ชลประทานสมุทรสาคร และพื้นที่เอกชน อนุญาตให้ดำเนินการปักเสา พาดสายแล้ว
ติดตั้งเสา Monopole แล้ว 10/10 ต้น พร้อมพาดสาย</t>
  </si>
  <si>
    <t>คลองส่งน้ำฯ ให้แก้ไขปรับแบบแผนผังการขออนุญาต
อยู่ระหว่าง กอฟ. แก้ไขแบบแผนผัง</t>
  </si>
  <si>
    <t>แผนงานก่อสร้างสถานีไฟฟ้าสมุทรสาคร 18 (ชั่วคราว)</t>
  </si>
  <si>
    <t>รายการ</t>
  </si>
  <si>
    <t>แผนการดำเนินงาน/ผลการดำเนินงาน</t>
  </si>
  <si>
    <t>ผลการดำเนินงาน</t>
  </si>
  <si>
    <t>น้ำหนัก</t>
  </si>
  <si>
    <t>คิดเป็น %</t>
  </si>
  <si>
    <t>รื้อถอนสถานีไฟฟ้าสมุทรสาคร 16 (ชั่วคราว)</t>
  </si>
  <si>
    <t>แผนการดำเนินงาน</t>
  </si>
  <si>
    <t>ปรับปรุงที่ดิน</t>
  </si>
  <si>
    <t>ขนย้ายติดตั้งฐานราก</t>
  </si>
  <si>
    <t>ขนย้ายอุปกรณ์ป้องกัน 115 kV และหม้อแปลงไฟฟ้ากำลัง</t>
  </si>
  <si>
    <t>ติดตั้งอุปกรณ์ป้องกัน 115 kV และหม้อแปลงไฟฟ้ากำลัง</t>
  </si>
  <si>
    <t>ปักเสาภายในสถานีไฟฟ้า</t>
  </si>
  <si>
    <t>ติดตั้งระบบกราวด์กริด</t>
  </si>
  <si>
    <t>ลงหินเบอร์ 2</t>
  </si>
  <si>
    <t>ติดตั้ง Ladder</t>
  </si>
  <si>
    <t>ลากสายและติดตั้งสาย Control cable</t>
  </si>
  <si>
    <t>ลากสายและติดตั้งสาย Power cable</t>
  </si>
  <si>
    <t>CSCS</t>
  </si>
  <si>
    <t>Individual Test</t>
  </si>
  <si>
    <t>Commisioning Test</t>
  </si>
  <si>
    <t>Settind Relay / End to End Test</t>
  </si>
  <si>
    <t xml:space="preserve">AC Withstand Test </t>
  </si>
  <si>
    <t>%งานก่อสร้างรวม</t>
  </si>
  <si>
    <t>แผนงานก่อสร้างสถานีไฟฟ้ากาญจนบุรี 5 (ชั่วคราว)</t>
  </si>
  <si>
    <t>รื้อถอนสถานีไฟฟ้าสมุทรสาคร 10 (ชั่วคราว)</t>
  </si>
  <si>
    <t>ผกร.กรย.(ก3)</t>
  </si>
  <si>
    <t>Tap line (สถานีไฟฟ้ากาญจนบุรี 2 - สถานีไฟฟ้าพนมทวน) - สถานีไฟฟ้ากาญจนบุรี 5 (ชั่วคราว)</t>
  </si>
  <si>
    <t>ได้รับอนุญาตขยับแนวท่อระบายน้ำและประปา และอนุญาตให้ก่อสร้างสายส่งแล้ว</t>
  </si>
  <si>
    <t>สถานีไฟฟ้าสินสาคร - สถานีไฟฟ้าสมุทรสาคร 13 - สถานีไฟฟ้าสมุทรสาคร 8</t>
  </si>
  <si>
    <t>ข้อกำหนดโครงการ /WBS</t>
  </si>
  <si>
    <t>คำอธิบายภาษาไทย</t>
  </si>
  <si>
    <t>Status</t>
  </si>
  <si>
    <t>Lv</t>
  </si>
  <si>
    <t>งบประมาณต้นแบบ</t>
  </si>
  <si>
    <t>งบประมาณปัจจุบัน</t>
  </si>
  <si>
    <t>ที่จัดสรร</t>
  </si>
  <si>
    <t>ที่กระจายได้</t>
  </si>
  <si>
    <t>PR/PO</t>
  </si>
  <si>
    <t>Act.ค่าวัสดุ 121*</t>
  </si>
  <si>
    <t>Act.ค่าวัสดุ(เช็คงบ)</t>
  </si>
  <si>
    <t>Act.ค่าวัสดุ(Post ย้อน 2016)</t>
  </si>
  <si>
    <t>Act.ค่าวัสดุ(ไม่เช็คงบ)</t>
  </si>
  <si>
    <t>Act.ค่าวัสดุเข้างาน (53051080)</t>
  </si>
  <si>
    <t>Act.ค่าจ้างเหมา</t>
  </si>
  <si>
    <t>Act.ค่าประสานงาน</t>
  </si>
  <si>
    <t>Act.คชจ.หน้างานอื่นๆ</t>
  </si>
  <si>
    <t>รวม Act.ทั้งหมดที่ควบคุม งปม.</t>
  </si>
  <si>
    <t>งบประมาณคงเหลือ</t>
  </si>
  <si>
    <t>Plan ค่าวัสดุ</t>
  </si>
  <si>
    <t xml:space="preserve"> Plan ค่าวัสดุเข้างาน (53051080)</t>
  </si>
  <si>
    <t>Plan คชจ.หน้างาน</t>
  </si>
  <si>
    <t>อนุมัติ คชจ.หน้างาน</t>
  </si>
  <si>
    <t>CRTD AVAC PREL BUDG  // Z0</t>
  </si>
  <si>
    <t>TECO  AVAC SETC BUDG ISBD NTUP  // D2</t>
  </si>
  <si>
    <t>REL AVAC SETC BUDG ISBD NTUP  // C1</t>
  </si>
  <si>
    <t>REL AVAC SETC BUDG ISBD NTUP NSCH  // C1</t>
  </si>
  <si>
    <t>REL AVAC SETC BUDG ISBD NTUP  // C2</t>
  </si>
  <si>
    <t>REL AVAC SETC BUDG NTUP  // C1</t>
  </si>
  <si>
    <t>CLSD  AVAC SETC BUDG ISBD NTUP  // F4</t>
  </si>
  <si>
    <t>งานก่อสร้างสถานีไฟฟ้าสมุทรสาคร 18 (ชั่วค</t>
  </si>
  <si>
    <t>I-69-I-BNCXX.19.3904.A</t>
  </si>
  <si>
    <t>ก่อสร้างสถานีไฟฟ้าสมุทรสาคร 18 (ช)</t>
  </si>
  <si>
    <t>I-69-I-BNCXX.19.3904.B</t>
  </si>
  <si>
    <t>กส.สายส่ง 115kV รองรับ สฟฟ.สค.18(ช)</t>
  </si>
  <si>
    <t>CRTD AVAC SETC BUDG NTUP  // B2</t>
  </si>
  <si>
    <t>I-69-I-BNCXX.19.3904.C</t>
  </si>
  <si>
    <t>กส.ระบบจำหน่าย 22kV รองรับ สฟฟ.สค.18(ช)</t>
  </si>
  <si>
    <t>I-69-I-BNCXX.19.3904.D</t>
  </si>
  <si>
    <t>กส.ระบบสื่อสาร รองรับ สฟฟ.สค.18(ช)</t>
  </si>
  <si>
    <t>CRTD AVAC SETC BUDG  // B2</t>
  </si>
  <si>
    <t>I-69-I-BNCXX.19.3904.E</t>
  </si>
  <si>
    <t>จุด A ติดตั้ง DIS Tie Line บริเวณ ปากซอย</t>
  </si>
  <si>
    <t>I-69-I-BNCXX.19.3904.F</t>
  </si>
  <si>
    <t>จุด B ติดตั้ง DIS Tie Line บริเวณ ปากซอย</t>
  </si>
  <si>
    <t>I-69-I-BNCXX.19.3904.G</t>
  </si>
  <si>
    <t>จุด C ติดตั้ง SF6 แทน DIS (KTB08S-11) บร</t>
  </si>
  <si>
    <t>I-69-I-BNCXX.19.3904.H</t>
  </si>
  <si>
    <t>จุด D ติดตั้ง SF6 แทน DIS (KTB08S-07) บร</t>
  </si>
  <si>
    <t>I-69-I-BNCXX.19.3904.I</t>
  </si>
  <si>
    <t>จุด E ติดตั้ง DIS ตัดไลน์ วงจร KTB08 บริ</t>
  </si>
  <si>
    <t>I-69-I-BNCXX.19.3904.J</t>
  </si>
  <si>
    <t>จุด F ติดตั้ง SF6 แทน DIS (KTB04S-07) บร</t>
  </si>
  <si>
    <t>I-69-I-BNCXX.19.3904.K</t>
  </si>
  <si>
    <t>จุด G ติดตั้ง SF6 ตัดไลน์ วงจร SMI05 บริ</t>
  </si>
  <si>
    <t>I-69-I-BNCXX.19.3904.L</t>
  </si>
  <si>
    <t>จุด H ติดตั้ง SF6 ตัดไลน์ วงจร SMI05 บริ</t>
  </si>
  <si>
    <t>งานก่อสร้างสถานีไฟฟ้ากาญจนบุรี 5(ช)</t>
  </si>
  <si>
    <t>I-69-I-SMN01.19.3907</t>
  </si>
  <si>
    <t>รื้อถอนสถานีไฟฟ้าสมุทรสาคร 10(คืนคลัง)</t>
  </si>
  <si>
    <t>CRTD AVAC SETC BUDG NTUP  // C1</t>
  </si>
  <si>
    <t>I-69-I-SMN02.19.3907</t>
  </si>
  <si>
    <t>ปป. 22kV บริเวณหน้า สฟฟ.สมุทรสาคร 10(ชค)</t>
  </si>
  <si>
    <t>I-69-I-KCI02.19.3907</t>
  </si>
  <si>
    <t>งานก่อสร้างสายส่ง 115 kV (ภายนอก)</t>
  </si>
  <si>
    <t>I-69-I-KCI03.19.3907</t>
  </si>
  <si>
    <t>งาน ปป. 22kV (ใต้ 115kV) ช่วง สฟฟ.กจ.5(ช</t>
  </si>
  <si>
    <t>I-69-I-KCI04.19.3907</t>
  </si>
  <si>
    <t>งาน ปป. 22kV ช่วง สฟฟ.กจ.5(ช) - ซอยทุ่งน</t>
  </si>
  <si>
    <t>I-69-I-KCI05.19.3907</t>
  </si>
  <si>
    <t>งาน ปป. 22kV ช่วง สฟฟ.กจ.5(ช) - ศูนย์สร้</t>
  </si>
  <si>
    <t>I-69-I-KCI06.19.3907</t>
  </si>
  <si>
    <t>งานก่อสร้างเคเบิลใยแก้วนำแสง</t>
  </si>
  <si>
    <t>I-69-I-KCIPC.19.3907.A</t>
  </si>
  <si>
    <t>ติดตั้ง DIS Tie Line วงจร KCU03-KCU05</t>
  </si>
  <si>
    <t>I-69-I-KCIPC.19.3907.B</t>
  </si>
  <si>
    <t>ติดตั้ง DIS Tie Line วงจร KCU01-KCU02</t>
  </si>
  <si>
    <t>I-69-I-KCIPC.19.3907.C</t>
  </si>
  <si>
    <t>เปลี่ยน DIS ตัดไลน์ เป็น Loop Line วงจร</t>
  </si>
  <si>
    <t>I-69-I-KCIPC.19.3907.D</t>
  </si>
  <si>
    <t>ติดตั้ง DIS Loop Line วงจร KCU05-KCU06</t>
  </si>
  <si>
    <t>I-69-I-KCIPC.19.3907.E</t>
  </si>
  <si>
    <t>ติดตั้ง SF6 ตัดไลน์ วงจร KCU05</t>
  </si>
  <si>
    <t>I-69-I-KCIPC.19.3907.F</t>
  </si>
  <si>
    <t>ติดตั้ง SF6 แทน DIS (KCA09S-03) บริเวณ</t>
  </si>
  <si>
    <t>I-69-I-KCIPC.19.3907.G</t>
  </si>
  <si>
    <t>ติดตั้ง SF6 Tie Line วงจร KCA04-KCU06</t>
  </si>
  <si>
    <t>I-69-I-KCIPC.19.3907.H</t>
  </si>
  <si>
    <t>ติดตั้ง SF6 ตัดไลน์ วงจร KCU01</t>
  </si>
  <si>
    <t>I-69-I-KCIPC.19.3907.I</t>
  </si>
  <si>
    <t>ติดตั้ง SF6 แทน DIS (TMA02S-06)</t>
  </si>
  <si>
    <t>I-69-I-KCIPC.19.3907.J</t>
  </si>
  <si>
    <t>ติดตั้ง DIS ตัดไลน์ วงจร KCU01</t>
  </si>
  <si>
    <t>I-69-I-KCIPC.19.3907.K</t>
  </si>
  <si>
    <t>ติดตั้ง DIS Tie Line วงจร KCU01-KCU03</t>
  </si>
  <si>
    <t>I-69-I-IMDXX.19.B907</t>
  </si>
  <si>
    <t>จัดซื้อพัสดุงานก่อสร้าง สฟฟ.กจ.5 (ชค)</t>
  </si>
  <si>
    <t>REL AVAC BUDG  // B2</t>
  </si>
  <si>
    <t>I-69-I-SUBXX.19.B907</t>
  </si>
  <si>
    <t>จัดซื้ออุปกรณ์ป้องกัน สฟฟ.กจ.5 (ชค)</t>
  </si>
  <si>
    <t>REL AVAC BUDG  // C1</t>
  </si>
  <si>
    <t>I-69-I-PSCXX.19.B907</t>
  </si>
  <si>
    <t>จัดซื้อระบบกราวน์กริด สฟฟ.กจ.5 (ชค)</t>
  </si>
  <si>
    <t>I-69-I-GMDXX.19.B907</t>
  </si>
  <si>
    <t>จัดซื้อ Termination Kit สฟฟ.กจ.5 (ชค)</t>
  </si>
  <si>
    <t>REL AVAC SETC BUDG ISBD NTUP  // D1</t>
  </si>
  <si>
    <t>เทศบาลเมืองพันท้ายนรสิงห์</t>
  </si>
  <si>
    <t>รายงานสถานะการก่อสร้างสายส่ง 115 เควี ที่อยู่ระหว่างก่อสร้างในเขตพื้นที่ กฟก.3 ประจำเดือน กรกฎาคม 2569</t>
  </si>
  <si>
    <t>รายงานสถานะงานก่อสร้างสถานีไฟฟ้าตามโครงการต่างๆ ในพื้นที่ กฟก.3 ประจำเดือน กรกฎาคม 2569</t>
  </si>
  <si>
    <t xml:space="preserve">รายงานสถานะงานก่อสร้างสถานีไฟฟ้าตามโครงการต่างๆ ที่อยู่ระหว่างการดำเนินการก่อสร้าง ในพื้นที่ กฟก.3  ประจำเดือน กรกฎาคม 2569 </t>
  </si>
  <si>
    <t>สถานะงานขออนุญาตก่อสร้างสายส่ง และสถานีไฟฟ้า ในพื้นที่ กฟก.3 ประจำเดือน กรกฎาคม 2569</t>
  </si>
  <si>
    <t>งานก่อสร้างฐานรากเสาและสมอบกคอนกรีต ดำเนินการแล้ว 67  ฐาน
งานปักเสา คอร. 22 เมตร ดำเนินการแล้ว 66 ต้น
งานพาดสายไฟฟ้าและติดตั้งอุปกรณ์ ดำเนินการแล้ว 16,782 เมตร
กำหนด AC Withstand วันที่ 9 สิงหาคม 2569</t>
  </si>
  <si>
    <t xml:space="preserve">งานก่อสร้างฐานรากเสาและสมอบกคอนกรีต ดำเนินการแล้ว 305 ฐาน
งานปักเสา คอร. 22 เมตร ดำเนินการแล้ว 313 ต้น
งานพาดสายไฟฟ้าและติดตั้งอุปกรณ์ ดำเนินการแล้ว 53,823/54,063 เมตร
คาดการณ์แล้วเสร็จ วันที่ 16 สิงหาคม 2569 เนื่องด้วยดับไฟผู้ใช้ไฟรายใหญ่ได้ </t>
  </si>
  <si>
    <t>งานปักเสา คอร. 22 เมตร ดำเนินการแล้ว 25/73 ต้น
งานปักเสา Monopole 20 เมตร ดำเนินการแล้ว 0/4 ต้น
ฐานราก ดำเนินการแล้ว 66/69 ฐาน (ฐานเดี่ยว 65 ฐาน/คู่ 4 ฐาน)
ติดตั้ง ABS ขนาด 2000 A ใหม่ จำนวน 1 ชุด</t>
  </si>
  <si>
    <t>รื้อถอนอุปกรณ์ป้องกัน 22,115 kV และหม้อแปลงกำลัง จากสถานีไฟฟ้าสมุทรสาคร 16 (ชั่วคราว)เรียบร้อย เตรียมขนย้ายไปติดตั้งและส่งคืนเศษวัสดุ ขณะนี้สถานีไฟฟ้าสมุทรสาคร 18 (ชั่วคราว) ปรับปรุงที่ดินแล้วเสร็จ</t>
  </si>
  <si>
    <t>รื้อย้ายอุปกรณ์ป้องกัน 22,115 kV และหม้อแปลงกำลัง จากสถานีไฟฟ้าสมุทรสาคร 10 (ชั่วคราว) ได้ประมาณ 80% ของงานรื้อถอน
ขณะนี้อยู่ระหว่างปรับปรุงที่ดิน (ถมดินให้ได้ตามระดับ)</t>
  </si>
  <si>
    <t>ได้รับอนุญาตแล้ว 
แบบขถด.2 เลขที่ 10/2569 ลงวันที่27 กรกฎาคม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</si>
</sst>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0.000"/>
  </numFmts>
  <fonts count="30" x14ac:knownFonts="1">
    <font>
      <sz val="11"/>
      <color theme="1"/>
      <name val="Tahoma"/>
      <family val="2"/>
      <charset val="222"/>
      <scheme val="minor"/>
    </font>
    <font>
      <sz val="10"/>
      <color rgb="FF000000"/>
      <name val="Times New Roman"/>
      <charset val="204"/>
    </font>
    <font>
      <sz val="8"/>
      <name val="Tahoma"/>
      <family val="2"/>
      <charset val="222"/>
      <scheme val="minor"/>
    </font>
    <font>
      <sz val="6"/>
      <name val="Yu Gothic"/>
      <family val="2"/>
      <charset val="128"/>
    </font>
    <font>
      <sz val="11"/>
      <color theme="1"/>
      <name val="Tahoma"/>
      <family val="2"/>
      <charset val="222"/>
      <scheme val="minor"/>
    </font>
    <font>
      <b/>
      <sz val="16"/>
      <color rgb="FF000000"/>
      <name val="TH Sarabun New"/>
      <family val="2"/>
    </font>
    <font>
      <sz val="10"/>
      <color rgb="FF000000"/>
      <name val="TH Sarabun New"/>
      <family val="2"/>
    </font>
    <font>
      <sz val="11"/>
      <color theme="1"/>
      <name val="TH Sarabun New"/>
      <family val="2"/>
    </font>
    <font>
      <b/>
      <sz val="16"/>
      <color theme="1"/>
      <name val="TH Sarabun New"/>
      <family val="2"/>
    </font>
    <font>
      <b/>
      <sz val="20"/>
      <color theme="1"/>
      <name val="TH Sarabun New"/>
      <family val="2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8"/>
      <color theme="1"/>
      <name val="TH Sarabun New"/>
      <family val="2"/>
    </font>
    <font>
      <sz val="12"/>
      <color theme="1"/>
      <name val="TH Sarabun New"/>
      <family val="2"/>
    </font>
    <font>
      <sz val="14"/>
      <name val="TH Sarabun New"/>
      <family val="2"/>
    </font>
    <font>
      <b/>
      <u/>
      <sz val="18"/>
      <color theme="1"/>
      <name val="TH Sarabun New"/>
      <family val="2"/>
    </font>
    <font>
      <sz val="16"/>
      <color theme="1"/>
      <name val="TH SarabunPSK"/>
      <family val="2"/>
    </font>
    <font>
      <b/>
      <sz val="24"/>
      <color theme="1"/>
      <name val="TH SarabunPSK"/>
      <family val="2"/>
    </font>
    <font>
      <sz val="16"/>
      <name val="TH SarabunPSK"/>
      <family val="2"/>
    </font>
    <font>
      <b/>
      <sz val="18"/>
      <color theme="0"/>
      <name val="TH SarabunPSK"/>
      <family val="2"/>
    </font>
    <font>
      <b/>
      <sz val="14"/>
      <color theme="0"/>
      <name val="TH Sarabun New"/>
      <family val="2"/>
    </font>
    <font>
      <sz val="14"/>
      <color rgb="FF000000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PSK"/>
      <family val="2"/>
    </font>
    <font>
      <sz val="11"/>
      <color theme="1" tint="0.24994659260841701"/>
      <name val="Leelawadee"/>
      <family val="2"/>
    </font>
    <font>
      <b/>
      <sz val="22"/>
      <color theme="1" tint="0.24994659260841701"/>
      <name val="TH SarabunPSK"/>
      <family val="2"/>
    </font>
    <font>
      <sz val="14"/>
      <color theme="1" tint="0.24994659260841701"/>
      <name val="TH SarabunPSK"/>
      <family val="2"/>
    </font>
    <font>
      <b/>
      <sz val="14"/>
      <color theme="1" tint="0.24994659260841701"/>
      <name val="TH SarabunPSK"/>
      <family val="2"/>
    </font>
    <font>
      <b/>
      <sz val="13"/>
      <color theme="1" tint="0.24994659260841701"/>
      <name val="Leelawadee"/>
      <family val="2"/>
    </font>
    <font>
      <b/>
      <sz val="18"/>
      <color theme="1" tint="0.2499465926084170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24" fillId="0" borderId="0" applyNumberFormat="0" applyFill="0" applyBorder="0" applyProtection="0">
      <alignment horizontal="center" vertical="center"/>
    </xf>
    <xf numFmtId="0" fontId="28" fillId="0" borderId="0" applyFill="0" applyBorder="0" applyProtection="0">
      <alignment horizontal="left" wrapText="1"/>
    </xf>
  </cellStyleXfs>
  <cellXfs count="224">
    <xf numFmtId="0" fontId="0" fillId="0" borderId="0" xfId="0"/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Font="1" applyBorder="1"/>
    <xf numFmtId="0" fontId="7" fillId="0" borderId="3" xfId="0" applyFont="1" applyBorder="1"/>
    <xf numFmtId="0" fontId="13" fillId="0" borderId="0" xfId="0" applyFont="1" applyAlignment="1">
      <alignment horizontal="justify" vertical="center"/>
    </xf>
    <xf numFmtId="0" fontId="8" fillId="0" borderId="0" xfId="0" applyFont="1"/>
    <xf numFmtId="0" fontId="7" fillId="0" borderId="9" xfId="0" applyFont="1" applyBorder="1"/>
    <xf numFmtId="0" fontId="7" fillId="0" borderId="11" xfId="0" applyFont="1" applyBorder="1"/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7" fillId="2" borderId="0" xfId="0" applyFont="1" applyFill="1"/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 wrapText="1"/>
    </xf>
    <xf numFmtId="10" fontId="11" fillId="0" borderId="13" xfId="0" applyNumberFormat="1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vertical="center" wrapText="1"/>
    </xf>
    <xf numFmtId="0" fontId="7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 vertical="center" wrapText="1"/>
    </xf>
    <xf numFmtId="0" fontId="15" fillId="4" borderId="3" xfId="0" applyFont="1" applyFill="1" applyBorder="1"/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0" borderId="22" xfId="0" applyFont="1" applyBorder="1"/>
    <xf numFmtId="0" fontId="10" fillId="3" borderId="10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 wrapText="1"/>
    </xf>
    <xf numFmtId="10" fontId="14" fillId="0" borderId="13" xfId="0" applyNumberFormat="1" applyFont="1" applyBorder="1" applyAlignment="1">
      <alignment horizontal="center" vertical="center" wrapText="1"/>
    </xf>
    <xf numFmtId="43" fontId="11" fillId="0" borderId="13" xfId="2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9" fillId="5" borderId="13" xfId="0" applyFont="1" applyFill="1" applyBorder="1" applyAlignment="1">
      <alignment horizontal="center" vertical="center"/>
    </xf>
    <xf numFmtId="0" fontId="14" fillId="0" borderId="24" xfId="1" applyFont="1" applyBorder="1" applyAlignment="1">
      <alignment horizontal="left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49" fontId="16" fillId="0" borderId="13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6" fillId="0" borderId="0" xfId="3" applyFont="1" applyBorder="1">
      <alignment horizontal="center" vertical="center"/>
    </xf>
    <xf numFmtId="0" fontId="27" fillId="6" borderId="17" xfId="3" applyFont="1" applyFill="1" applyBorder="1">
      <alignment horizontal="center" vertical="center"/>
    </xf>
    <xf numFmtId="0" fontId="27" fillId="6" borderId="18" xfId="3" applyFont="1" applyFill="1" applyBorder="1">
      <alignment horizontal="center" vertical="center"/>
    </xf>
    <xf numFmtId="0" fontId="27" fillId="6" borderId="19" xfId="3" applyFont="1" applyFill="1" applyBorder="1">
      <alignment horizontal="center" vertical="center"/>
    </xf>
    <xf numFmtId="0" fontId="27" fillId="6" borderId="34" xfId="3" applyFont="1" applyFill="1" applyBorder="1">
      <alignment horizontal="center" vertical="center"/>
    </xf>
    <xf numFmtId="0" fontId="27" fillId="0" borderId="29" xfId="4" applyFont="1" applyBorder="1" applyAlignment="1">
      <alignment horizontal="center" vertical="center" wrapText="1"/>
    </xf>
    <xf numFmtId="0" fontId="27" fillId="0" borderId="14" xfId="3" applyFont="1" applyBorder="1">
      <alignment horizontal="center" vertical="center"/>
    </xf>
    <xf numFmtId="0" fontId="27" fillId="0" borderId="15" xfId="3" applyFont="1" applyBorder="1">
      <alignment horizontal="center" vertical="center"/>
    </xf>
    <xf numFmtId="0" fontId="27" fillId="0" borderId="16" xfId="3" applyFont="1" applyBorder="1">
      <alignment horizontal="center" vertical="center"/>
    </xf>
    <xf numFmtId="0" fontId="27" fillId="7" borderId="14" xfId="3" applyFont="1" applyFill="1" applyBorder="1">
      <alignment horizontal="center" vertical="center"/>
    </xf>
    <xf numFmtId="0" fontId="27" fillId="7" borderId="15" xfId="3" applyFont="1" applyFill="1" applyBorder="1">
      <alignment horizontal="center" vertical="center"/>
    </xf>
    <xf numFmtId="0" fontId="27" fillId="7" borderId="16" xfId="3" applyFont="1" applyFill="1" applyBorder="1">
      <alignment horizontal="center" vertical="center"/>
    </xf>
    <xf numFmtId="0" fontId="27" fillId="0" borderId="31" xfId="3" applyFont="1" applyBorder="1">
      <alignment horizontal="center" vertical="center"/>
    </xf>
    <xf numFmtId="0" fontId="27" fillId="0" borderId="32" xfId="4" applyFont="1" applyBorder="1" applyAlignment="1">
      <alignment horizontal="center" vertical="center" wrapText="1"/>
    </xf>
    <xf numFmtId="0" fontId="27" fillId="0" borderId="17" xfId="3" applyFont="1" applyBorder="1">
      <alignment horizontal="center" vertical="center"/>
    </xf>
    <xf numFmtId="0" fontId="27" fillId="0" borderId="18" xfId="3" applyFont="1" applyBorder="1">
      <alignment horizontal="center" vertical="center"/>
    </xf>
    <xf numFmtId="0" fontId="27" fillId="0" borderId="19" xfId="3" applyFont="1" applyBorder="1">
      <alignment horizontal="center" vertical="center"/>
    </xf>
    <xf numFmtId="0" fontId="27" fillId="0" borderId="34" xfId="3" applyFont="1" applyBorder="1">
      <alignment horizontal="center" vertical="center"/>
    </xf>
    <xf numFmtId="0" fontId="27" fillId="0" borderId="15" xfId="3" applyFont="1" applyFill="1" applyBorder="1">
      <alignment horizontal="center" vertical="center"/>
    </xf>
    <xf numFmtId="0" fontId="27" fillId="0" borderId="37" xfId="4" applyFont="1" applyBorder="1" applyAlignment="1">
      <alignment horizontal="center" vertical="center" wrapText="1"/>
    </xf>
    <xf numFmtId="0" fontId="27" fillId="0" borderId="39" xfId="3" applyFont="1" applyBorder="1">
      <alignment horizontal="center" vertical="center"/>
    </xf>
    <xf numFmtId="0" fontId="27" fillId="0" borderId="40" xfId="3" applyFont="1" applyBorder="1">
      <alignment horizontal="center" vertical="center"/>
    </xf>
    <xf numFmtId="0" fontId="27" fillId="0" borderId="41" xfId="3" applyFont="1" applyBorder="1">
      <alignment horizontal="center" vertical="center"/>
    </xf>
    <xf numFmtId="0" fontId="27" fillId="7" borderId="40" xfId="3" applyFont="1" applyFill="1" applyBorder="1">
      <alignment horizontal="center" vertical="center"/>
    </xf>
    <xf numFmtId="0" fontId="27" fillId="7" borderId="41" xfId="3" applyFont="1" applyFill="1" applyBorder="1">
      <alignment horizontal="center" vertical="center"/>
    </xf>
    <xf numFmtId="0" fontId="27" fillId="0" borderId="42" xfId="3" applyFont="1" applyBorder="1">
      <alignment horizontal="center" vertical="center"/>
    </xf>
    <xf numFmtId="0" fontId="27" fillId="0" borderId="43" xfId="4" applyFont="1" applyBorder="1" applyAlignment="1">
      <alignment horizontal="center" vertical="center" wrapText="1"/>
    </xf>
    <xf numFmtId="0" fontId="27" fillId="0" borderId="25" xfId="3" applyFont="1" applyBorder="1">
      <alignment horizontal="center" vertical="center"/>
    </xf>
    <xf numFmtId="0" fontId="27" fillId="0" borderId="26" xfId="3" applyFont="1" applyBorder="1">
      <alignment horizontal="center" vertical="center"/>
    </xf>
    <xf numFmtId="0" fontId="27" fillId="0" borderId="27" xfId="3" applyFont="1" applyBorder="1">
      <alignment horizontal="center" vertical="center"/>
    </xf>
    <xf numFmtId="0" fontId="27" fillId="0" borderId="45" xfId="3" applyFont="1" applyBorder="1">
      <alignment horizontal="center" vertical="center"/>
    </xf>
    <xf numFmtId="0" fontId="27" fillId="7" borderId="31" xfId="3" applyFont="1" applyFill="1" applyBorder="1">
      <alignment horizontal="center" vertical="center"/>
    </xf>
    <xf numFmtId="0" fontId="29" fillId="0" borderId="47" xfId="3" applyFont="1" applyBorder="1">
      <alignment horizontal="center" vertical="center"/>
    </xf>
    <xf numFmtId="0" fontId="27" fillId="6" borderId="25" xfId="3" applyFont="1" applyFill="1" applyBorder="1">
      <alignment horizontal="center" vertical="center"/>
    </xf>
    <xf numFmtId="0" fontId="27" fillId="6" borderId="26" xfId="3" applyFont="1" applyFill="1" applyBorder="1">
      <alignment horizontal="center" vertical="center"/>
    </xf>
    <xf numFmtId="0" fontId="27" fillId="6" borderId="27" xfId="3" applyFont="1" applyFill="1" applyBorder="1">
      <alignment horizontal="center" vertical="center"/>
    </xf>
    <xf numFmtId="0" fontId="27" fillId="0" borderId="14" xfId="3" applyFont="1" applyFill="1" applyBorder="1">
      <alignment horizontal="center" vertical="center"/>
    </xf>
    <xf numFmtId="0" fontId="27" fillId="0" borderId="16" xfId="3" applyFont="1" applyFill="1" applyBorder="1">
      <alignment horizontal="center" vertical="center"/>
    </xf>
    <xf numFmtId="0" fontId="27" fillId="0" borderId="17" xfId="3" applyFont="1" applyFill="1" applyBorder="1">
      <alignment horizontal="center" vertical="center"/>
    </xf>
    <xf numFmtId="0" fontId="27" fillId="0" borderId="18" xfId="3" applyFont="1" applyFill="1" applyBorder="1">
      <alignment horizontal="center" vertical="center"/>
    </xf>
    <xf numFmtId="0" fontId="27" fillId="0" borderId="19" xfId="3" applyFont="1" applyFill="1" applyBorder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left" vertical="center" wrapText="1"/>
    </xf>
    <xf numFmtId="187" fontId="21" fillId="0" borderId="13" xfId="1" applyNumberFormat="1" applyFont="1" applyBorder="1" applyAlignment="1">
      <alignment horizontal="center" vertical="center" wrapText="1"/>
    </xf>
    <xf numFmtId="1" fontId="21" fillId="0" borderId="13" xfId="1" applyNumberFormat="1" applyFont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wrapText="1"/>
    </xf>
    <xf numFmtId="0" fontId="21" fillId="0" borderId="28" xfId="1" applyFont="1" applyBorder="1" applyAlignment="1">
      <alignment horizontal="center" vertical="center" shrinkToFit="1"/>
    </xf>
    <xf numFmtId="0" fontId="21" fillId="0" borderId="39" xfId="1" applyFont="1" applyBorder="1" applyAlignment="1">
      <alignment horizontal="center" vertical="center" shrinkToFit="1"/>
    </xf>
    <xf numFmtId="0" fontId="14" fillId="0" borderId="40" xfId="1" applyFont="1" applyBorder="1" applyAlignment="1">
      <alignment horizontal="center" vertical="center" wrapText="1"/>
    </xf>
    <xf numFmtId="0" fontId="14" fillId="0" borderId="40" xfId="1" applyFont="1" applyBorder="1" applyAlignment="1">
      <alignment horizontal="left" vertical="center" wrapText="1"/>
    </xf>
    <xf numFmtId="187" fontId="21" fillId="0" borderId="40" xfId="1" applyNumberFormat="1" applyFont="1" applyBorder="1" applyAlignment="1">
      <alignment horizontal="center" vertical="center" wrapText="1"/>
    </xf>
    <xf numFmtId="1" fontId="21" fillId="0" borderId="40" xfId="1" applyNumberFormat="1" applyFont="1" applyBorder="1" applyAlignment="1">
      <alignment horizontal="center" vertical="center" shrinkToFit="1"/>
    </xf>
    <xf numFmtId="0" fontId="21" fillId="0" borderId="40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left" vertical="center" wrapText="1"/>
    </xf>
    <xf numFmtId="0" fontId="20" fillId="5" borderId="18" xfId="1" applyFont="1" applyFill="1" applyBorder="1" applyAlignment="1">
      <alignment horizontal="center" vertical="center" wrapText="1"/>
    </xf>
    <xf numFmtId="187" fontId="21" fillId="0" borderId="13" xfId="1" applyNumberFormat="1" applyFont="1" applyBorder="1" applyAlignment="1">
      <alignment horizontal="left" vertical="center" wrapText="1"/>
    </xf>
    <xf numFmtId="0" fontId="0" fillId="8" borderId="0" xfId="0" applyFill="1"/>
    <xf numFmtId="0" fontId="0" fillId="9" borderId="0" xfId="0" applyFill="1" applyAlignment="1">
      <alignment horizontal="left"/>
    </xf>
    <xf numFmtId="49" fontId="0" fillId="9" borderId="0" xfId="0" applyNumberFormat="1" applyFill="1"/>
    <xf numFmtId="4" fontId="0" fillId="0" borderId="0" xfId="0" applyNumberFormat="1"/>
    <xf numFmtId="0" fontId="27" fillId="10" borderId="19" xfId="3" applyFont="1" applyFill="1" applyBorder="1">
      <alignment horizontal="center" vertical="center"/>
    </xf>
    <xf numFmtId="0" fontId="27" fillId="10" borderId="17" xfId="3" applyFont="1" applyFill="1" applyBorder="1">
      <alignment horizontal="center" vertical="center"/>
    </xf>
    <xf numFmtId="0" fontId="27" fillId="10" borderId="18" xfId="3" applyFont="1" applyFill="1" applyBorder="1">
      <alignment horizontal="center" vertical="center"/>
    </xf>
    <xf numFmtId="0" fontId="20" fillId="5" borderId="15" xfId="1" applyFont="1" applyFill="1" applyBorder="1" applyAlignment="1">
      <alignment horizontal="center" vertical="center" wrapText="1"/>
    </xf>
    <xf numFmtId="0" fontId="20" fillId="5" borderId="18" xfId="1" applyFont="1" applyFill="1" applyBorder="1" applyAlignment="1">
      <alignment horizontal="center" vertical="center" wrapText="1"/>
    </xf>
    <xf numFmtId="0" fontId="20" fillId="5" borderId="16" xfId="1" applyFont="1" applyFill="1" applyBorder="1" applyAlignment="1">
      <alignment horizontal="center" vertical="center" wrapText="1"/>
    </xf>
    <xf numFmtId="0" fontId="20" fillId="5" borderId="1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0" fillId="5" borderId="14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20" fillId="5" borderId="15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5" fillId="0" borderId="0" xfId="3" applyFont="1" applyBorder="1">
      <alignment horizontal="center" vertical="center"/>
    </xf>
    <xf numFmtId="0" fontId="27" fillId="6" borderId="29" xfId="3" applyFont="1" applyFill="1" applyBorder="1">
      <alignment horizontal="center" vertical="center"/>
    </xf>
    <xf numFmtId="0" fontId="27" fillId="6" borderId="32" xfId="3" applyFont="1" applyFill="1" applyBorder="1">
      <alignment horizontal="center" vertical="center"/>
    </xf>
    <xf numFmtId="0" fontId="27" fillId="6" borderId="30" xfId="3" applyFont="1" applyFill="1" applyBorder="1">
      <alignment horizontal="center" vertical="center"/>
    </xf>
    <xf numFmtId="0" fontId="27" fillId="6" borderId="33" xfId="3" applyFont="1" applyFill="1" applyBorder="1">
      <alignment horizontal="center" vertical="center"/>
    </xf>
    <xf numFmtId="0" fontId="27" fillId="6" borderId="29" xfId="3" applyFont="1" applyFill="1" applyBorder="1" applyAlignment="1">
      <alignment horizontal="center" vertical="center" wrapText="1"/>
    </xf>
    <xf numFmtId="0" fontId="27" fillId="6" borderId="32" xfId="3" applyFont="1" applyFill="1" applyBorder="1" applyAlignment="1">
      <alignment horizontal="center" vertical="center" wrapText="1"/>
    </xf>
    <xf numFmtId="0" fontId="27" fillId="6" borderId="14" xfId="3" applyFont="1" applyFill="1" applyBorder="1">
      <alignment horizontal="center" vertical="center"/>
    </xf>
    <xf numFmtId="0" fontId="27" fillId="6" borderId="15" xfId="3" applyFont="1" applyFill="1" applyBorder="1">
      <alignment horizontal="center" vertical="center"/>
    </xf>
    <xf numFmtId="0" fontId="27" fillId="6" borderId="16" xfId="3" applyFont="1" applyFill="1" applyBorder="1">
      <alignment horizontal="center" vertical="center"/>
    </xf>
    <xf numFmtId="0" fontId="27" fillId="6" borderId="31" xfId="3" applyFont="1" applyFill="1" applyBorder="1">
      <alignment horizontal="center" vertical="center"/>
    </xf>
    <xf numFmtId="0" fontId="27" fillId="0" borderId="29" xfId="3" applyFont="1" applyBorder="1">
      <alignment horizontal="center" vertical="center"/>
    </xf>
    <xf numFmtId="0" fontId="27" fillId="0" borderId="32" xfId="3" applyFont="1" applyBorder="1">
      <alignment horizontal="center" vertical="center"/>
    </xf>
    <xf numFmtId="0" fontId="27" fillId="0" borderId="35" xfId="4" applyFont="1" applyBorder="1" applyAlignment="1">
      <alignment horizontal="left" vertical="center" wrapText="1"/>
    </xf>
    <xf numFmtId="0" fontId="27" fillId="0" borderId="36" xfId="4" applyFont="1" applyBorder="1" applyAlignment="1">
      <alignment horizontal="left" vertical="center" wrapText="1"/>
    </xf>
    <xf numFmtId="0" fontId="29" fillId="0" borderId="11" xfId="3" applyFont="1" applyBorder="1">
      <alignment horizontal="center" vertical="center"/>
    </xf>
    <xf numFmtId="0" fontId="29" fillId="0" borderId="22" xfId="3" applyFont="1" applyBorder="1">
      <alignment horizontal="center" vertical="center"/>
    </xf>
    <xf numFmtId="0" fontId="29" fillId="0" borderId="46" xfId="3" applyFont="1" applyBorder="1">
      <alignment horizontal="center" vertical="center"/>
    </xf>
    <xf numFmtId="0" fontId="27" fillId="0" borderId="37" xfId="3" applyFont="1" applyBorder="1">
      <alignment horizontal="center" vertical="center"/>
    </xf>
    <xf numFmtId="0" fontId="27" fillId="0" borderId="43" xfId="3" applyFont="1" applyBorder="1">
      <alignment horizontal="center" vertical="center"/>
    </xf>
    <xf numFmtId="0" fontId="27" fillId="0" borderId="38" xfId="4" applyFont="1" applyBorder="1" applyAlignment="1">
      <alignment horizontal="left" vertical="center" wrapText="1"/>
    </xf>
    <xf numFmtId="0" fontId="27" fillId="0" borderId="44" xfId="4" applyFont="1" applyBorder="1" applyAlignment="1">
      <alignment horizontal="left" vertical="center" wrapText="1"/>
    </xf>
    <xf numFmtId="17" fontId="27" fillId="6" borderId="14" xfId="3" applyNumberFormat="1" applyFont="1" applyFill="1" applyBorder="1">
      <alignment horizontal="center" vertical="center"/>
    </xf>
    <xf numFmtId="0" fontId="27" fillId="6" borderId="43" xfId="3" applyFont="1" applyFill="1" applyBorder="1">
      <alignment horizontal="center" vertical="center"/>
    </xf>
    <xf numFmtId="17" fontId="27" fillId="6" borderId="35" xfId="3" applyNumberFormat="1" applyFont="1" applyFill="1" applyBorder="1">
      <alignment horizontal="center" vertical="center"/>
    </xf>
    <xf numFmtId="0" fontId="27" fillId="6" borderId="48" xfId="3" applyFont="1" applyFill="1" applyBorder="1">
      <alignment horizontal="center" vertical="center"/>
    </xf>
    <xf numFmtId="0" fontId="27" fillId="0" borderId="48" xfId="3" applyFont="1" applyBorder="1">
      <alignment horizontal="center" vertical="center"/>
    </xf>
    <xf numFmtId="0" fontId="27" fillId="0" borderId="50" xfId="3" applyFont="1" applyBorder="1">
      <alignment horizontal="center" vertical="center"/>
    </xf>
    <xf numFmtId="0" fontId="27" fillId="6" borderId="49" xfId="3" applyFont="1" applyFill="1" applyBorder="1">
      <alignment horizontal="center" vertical="center"/>
    </xf>
  </cellXfs>
  <cellStyles count="5">
    <cellStyle name="Normal 2" xfId="1" xr:uid="{225DDC92-6EE1-4A86-94E3-FCC5911DCE7E}"/>
    <cellStyle name="กิจกรรม" xfId="4" xr:uid="{AE52FB62-7B48-4822-B9E2-214050E81418}"/>
    <cellStyle name="จุลภาค" xfId="2" builtinId="3"/>
    <cellStyle name="ปกติ" xfId="0" builtinId="0"/>
    <cellStyle name="ปกติ 2" xfId="3" xr:uid="{2445760A-6317-4C9C-BB5C-4D73BB4E9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5E61-3388-4E6C-88F6-F5730B734FDF}">
  <sheetPr codeName="Sheet1">
    <tabColor rgb="FF00B050"/>
    <pageSetUpPr fitToPage="1"/>
  </sheetPr>
  <dimension ref="A1:U15"/>
  <sheetViews>
    <sheetView view="pageBreakPreview" zoomScaleNormal="85" zoomScaleSheetLayoutView="100" workbookViewId="0">
      <pane ySplit="5" topLeftCell="A6" activePane="bottomLeft" state="frozen"/>
      <selection activeCell="I14" sqref="I14"/>
      <selection pane="bottomLeft" activeCell="C7" sqref="C7"/>
    </sheetView>
  </sheetViews>
  <sheetFormatPr defaultColWidth="7.8984375" defaultRowHeight="15.6" x14ac:dyDescent="0.25"/>
  <cols>
    <col min="1" max="1" width="3.19921875" style="3" customWidth="1"/>
    <col min="2" max="2" width="7.59765625" style="3" bestFit="1" customWidth="1"/>
    <col min="3" max="3" width="32.8984375" style="3" bestFit="1" customWidth="1"/>
    <col min="4" max="4" width="6.69921875" style="3" bestFit="1" customWidth="1"/>
    <col min="5" max="6" width="10.69921875" style="3" customWidth="1"/>
    <col min="7" max="18" width="5.69921875" style="3" customWidth="1"/>
    <col min="19" max="19" width="13.19921875" style="3" customWidth="1"/>
    <col min="20" max="20" width="49.09765625" style="3" customWidth="1"/>
    <col min="21" max="16384" width="7.8984375" style="3"/>
  </cols>
  <sheetData>
    <row r="1" spans="1:21" ht="24.6" x14ac:dyDescent="0.7">
      <c r="A1" s="1"/>
      <c r="B1" s="1"/>
      <c r="C1" s="1"/>
      <c r="D1" s="1"/>
      <c r="E1" s="1"/>
      <c r="F1" s="1"/>
      <c r="G1" s="1"/>
      <c r="H1" s="1"/>
      <c r="I1" s="1"/>
      <c r="J1" s="1"/>
      <c r="K1" s="18"/>
      <c r="L1" s="1"/>
      <c r="M1" s="1"/>
      <c r="N1" s="1"/>
      <c r="O1" s="2"/>
      <c r="P1" s="1"/>
      <c r="Q1" s="1"/>
      <c r="R1" s="1"/>
      <c r="S1" s="1"/>
      <c r="T1" s="1" t="s">
        <v>0</v>
      </c>
    </row>
    <row r="2" spans="1:21" ht="24.6" x14ac:dyDescent="0.25">
      <c r="A2" s="161" t="s">
        <v>327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</row>
    <row r="3" spans="1:21" ht="16.2" thickBot="1" x14ac:dyDescent="0.3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4"/>
      <c r="M3" s="4"/>
      <c r="N3" s="4"/>
      <c r="O3" s="4"/>
    </row>
    <row r="4" spans="1:21" ht="27" customHeight="1" x14ac:dyDescent="0.25">
      <c r="A4" s="162" t="s">
        <v>1</v>
      </c>
      <c r="B4" s="157" t="s">
        <v>2</v>
      </c>
      <c r="C4" s="157" t="s">
        <v>3</v>
      </c>
      <c r="D4" s="157" t="s">
        <v>4</v>
      </c>
      <c r="E4" s="157" t="s">
        <v>5</v>
      </c>
      <c r="F4" s="157" t="s">
        <v>113</v>
      </c>
      <c r="G4" s="164" t="s">
        <v>114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57" t="s">
        <v>136</v>
      </c>
      <c r="T4" s="159" t="s">
        <v>6</v>
      </c>
    </row>
    <row r="5" spans="1:21" ht="42.6" customHeight="1" thickBot="1" x14ac:dyDescent="0.3">
      <c r="A5" s="163"/>
      <c r="B5" s="158"/>
      <c r="C5" s="158"/>
      <c r="D5" s="158"/>
      <c r="E5" s="158"/>
      <c r="F5" s="158"/>
      <c r="G5" s="148" t="s">
        <v>7</v>
      </c>
      <c r="H5" s="148" t="s">
        <v>8</v>
      </c>
      <c r="I5" s="148" t="s">
        <v>9</v>
      </c>
      <c r="J5" s="148" t="s">
        <v>10</v>
      </c>
      <c r="K5" s="148" t="s">
        <v>11</v>
      </c>
      <c r="L5" s="148" t="s">
        <v>12</v>
      </c>
      <c r="M5" s="148" t="s">
        <v>13</v>
      </c>
      <c r="N5" s="148" t="s">
        <v>14</v>
      </c>
      <c r="O5" s="148" t="s">
        <v>15</v>
      </c>
      <c r="P5" s="148" t="s">
        <v>16</v>
      </c>
      <c r="Q5" s="148" t="s">
        <v>17</v>
      </c>
      <c r="R5" s="148" t="s">
        <v>18</v>
      </c>
      <c r="S5" s="158"/>
      <c r="T5" s="160"/>
    </row>
    <row r="6" spans="1:21" ht="84" x14ac:dyDescent="0.25">
      <c r="A6" s="141">
        <v>1</v>
      </c>
      <c r="B6" s="142" t="s">
        <v>19</v>
      </c>
      <c r="C6" s="143" t="s">
        <v>219</v>
      </c>
      <c r="D6" s="144">
        <f>4.705+1.505+0.56+0.077</f>
        <v>6.8469999999999995</v>
      </c>
      <c r="E6" s="142" t="s">
        <v>20</v>
      </c>
      <c r="F6" s="145">
        <v>65</v>
      </c>
      <c r="G6" s="145">
        <v>5</v>
      </c>
      <c r="H6" s="145">
        <v>2</v>
      </c>
      <c r="I6" s="145">
        <v>8</v>
      </c>
      <c r="J6" s="145">
        <v>5</v>
      </c>
      <c r="K6" s="145">
        <v>4</v>
      </c>
      <c r="L6" s="145">
        <v>7</v>
      </c>
      <c r="M6" s="145">
        <v>3</v>
      </c>
      <c r="N6" s="145"/>
      <c r="O6" s="145"/>
      <c r="P6" s="145"/>
      <c r="Q6" s="145"/>
      <c r="R6" s="146"/>
      <c r="S6" s="145">
        <f>SUM(F6:R6)</f>
        <v>99</v>
      </c>
      <c r="T6" s="147" t="s">
        <v>332</v>
      </c>
    </row>
    <row r="7" spans="1:21" ht="63" x14ac:dyDescent="0.25">
      <c r="A7" s="140">
        <v>2</v>
      </c>
      <c r="B7" s="135" t="s">
        <v>21</v>
      </c>
      <c r="C7" s="136" t="s">
        <v>23</v>
      </c>
      <c r="D7" s="137">
        <v>10</v>
      </c>
      <c r="E7" s="135" t="s">
        <v>20</v>
      </c>
      <c r="F7" s="138">
        <v>95</v>
      </c>
      <c r="G7" s="138">
        <v>0</v>
      </c>
      <c r="H7" s="138">
        <v>0</v>
      </c>
      <c r="I7" s="138">
        <v>1</v>
      </c>
      <c r="J7" s="138">
        <v>2</v>
      </c>
      <c r="K7" s="138">
        <v>1</v>
      </c>
      <c r="L7" s="138">
        <v>1</v>
      </c>
      <c r="M7" s="138">
        <v>0</v>
      </c>
      <c r="N7" s="138"/>
      <c r="O7" s="138"/>
      <c r="P7" s="138"/>
      <c r="Q7" s="138"/>
      <c r="R7" s="139"/>
      <c r="S7" s="138">
        <f t="shared" ref="S7:S10" si="0">SUM(F7:R7)</f>
        <v>100</v>
      </c>
      <c r="T7" s="81" t="s">
        <v>188</v>
      </c>
    </row>
    <row r="8" spans="1:21" ht="84" x14ac:dyDescent="0.25">
      <c r="A8" s="140">
        <v>3</v>
      </c>
      <c r="B8" s="135" t="s">
        <v>24</v>
      </c>
      <c r="C8" s="136" t="s">
        <v>25</v>
      </c>
      <c r="D8" s="137">
        <v>2.7</v>
      </c>
      <c r="E8" s="135" t="s">
        <v>20</v>
      </c>
      <c r="F8" s="138">
        <v>5</v>
      </c>
      <c r="G8" s="138">
        <v>8</v>
      </c>
      <c r="H8" s="138">
        <v>15</v>
      </c>
      <c r="I8" s="138">
        <v>19</v>
      </c>
      <c r="J8" s="138">
        <v>10</v>
      </c>
      <c r="K8" s="138">
        <v>10</v>
      </c>
      <c r="L8" s="138">
        <v>6</v>
      </c>
      <c r="M8" s="138">
        <v>27</v>
      </c>
      <c r="N8" s="138"/>
      <c r="O8" s="138"/>
      <c r="P8" s="138"/>
      <c r="Q8" s="138"/>
      <c r="R8" s="139"/>
      <c r="S8" s="138">
        <f>SUM(F8:R8)</f>
        <v>100</v>
      </c>
      <c r="T8" s="81" t="s">
        <v>331</v>
      </c>
    </row>
    <row r="9" spans="1:21" ht="105" x14ac:dyDescent="0.25">
      <c r="A9" s="140">
        <v>4</v>
      </c>
      <c r="B9" s="135" t="s">
        <v>26</v>
      </c>
      <c r="C9" s="136" t="s">
        <v>27</v>
      </c>
      <c r="D9" s="137">
        <v>7.1050000000000004</v>
      </c>
      <c r="E9" s="135" t="s">
        <v>20</v>
      </c>
      <c r="F9" s="138">
        <v>90</v>
      </c>
      <c r="G9" s="138">
        <v>2</v>
      </c>
      <c r="H9" s="138">
        <v>3</v>
      </c>
      <c r="I9" s="138">
        <v>0</v>
      </c>
      <c r="J9" s="138">
        <v>0</v>
      </c>
      <c r="K9" s="138">
        <v>5</v>
      </c>
      <c r="L9" s="138">
        <v>0</v>
      </c>
      <c r="M9" s="138">
        <v>0</v>
      </c>
      <c r="N9" s="138"/>
      <c r="O9" s="138"/>
      <c r="P9" s="138"/>
      <c r="Q9" s="138"/>
      <c r="R9" s="139"/>
      <c r="S9" s="138">
        <f t="shared" si="0"/>
        <v>100</v>
      </c>
      <c r="T9" s="81" t="s">
        <v>138</v>
      </c>
    </row>
    <row r="10" spans="1:21" ht="84" x14ac:dyDescent="0.25">
      <c r="A10" s="140">
        <v>5</v>
      </c>
      <c r="B10" s="135" t="s">
        <v>26</v>
      </c>
      <c r="C10" s="149" t="s">
        <v>217</v>
      </c>
      <c r="D10" s="137">
        <v>3.12</v>
      </c>
      <c r="E10" s="135" t="s">
        <v>216</v>
      </c>
      <c r="F10" s="138">
        <v>0</v>
      </c>
      <c r="G10" s="138">
        <v>0</v>
      </c>
      <c r="H10" s="138">
        <v>0</v>
      </c>
      <c r="I10" s="138">
        <v>0</v>
      </c>
      <c r="J10" s="138">
        <v>0</v>
      </c>
      <c r="K10" s="138">
        <v>0</v>
      </c>
      <c r="L10" s="138">
        <v>0</v>
      </c>
      <c r="M10" s="138">
        <v>25</v>
      </c>
      <c r="N10" s="138"/>
      <c r="O10" s="138"/>
      <c r="P10" s="138"/>
      <c r="Q10" s="138"/>
      <c r="R10" s="138"/>
      <c r="S10" s="138">
        <f t="shared" si="0"/>
        <v>25</v>
      </c>
      <c r="T10" s="81" t="s">
        <v>333</v>
      </c>
    </row>
    <row r="12" spans="1:21" x14ac:dyDescent="0.25">
      <c r="U12" s="3">
        <f>0.2*(25/73)*100</f>
        <v>6.8493150684931505</v>
      </c>
    </row>
    <row r="13" spans="1:21" x14ac:dyDescent="0.25">
      <c r="U13" s="3">
        <f>0.3*(0/4)*100</f>
        <v>0</v>
      </c>
    </row>
    <row r="14" spans="1:21" x14ac:dyDescent="0.25">
      <c r="U14" s="3">
        <f>0.2*(66/69)*100</f>
        <v>19.130434782608695</v>
      </c>
    </row>
    <row r="15" spans="1:21" x14ac:dyDescent="0.25">
      <c r="U15" s="3">
        <f>0.3*(0/1)*100</f>
        <v>0</v>
      </c>
    </row>
  </sheetData>
  <mergeCells count="11">
    <mergeCell ref="S4:S5"/>
    <mergeCell ref="T4:T5"/>
    <mergeCell ref="A2:T2"/>
    <mergeCell ref="A4:A5"/>
    <mergeCell ref="B4:B5"/>
    <mergeCell ref="C4:C5"/>
    <mergeCell ref="D4:D5"/>
    <mergeCell ref="E4:E5"/>
    <mergeCell ref="F4:F5"/>
    <mergeCell ref="G4:R4"/>
    <mergeCell ref="A3:K3"/>
  </mergeCells>
  <phoneticPr fontId="2" type="noConversion"/>
  <pageMargins left="0.31496062992125984" right="0.31496062992125984" top="0.55118110236220474" bottom="0.35433070866141736" header="0.31496062992125984" footer="0.31496062992125984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N41"/>
  <sheetViews>
    <sheetView view="pageBreakPreview" zoomScale="70" zoomScaleNormal="100" zoomScaleSheetLayoutView="70" workbookViewId="0">
      <pane ySplit="6" topLeftCell="A7" activePane="bottomLeft" state="frozen"/>
      <selection activeCell="A6" sqref="A6:T9"/>
      <selection pane="bottomLeft" activeCell="W15" sqref="W15"/>
    </sheetView>
  </sheetViews>
  <sheetFormatPr defaultColWidth="8.69921875" defaultRowHeight="16.8" x14ac:dyDescent="0.5"/>
  <cols>
    <col min="1" max="1" width="4.09765625" style="5" customWidth="1"/>
    <col min="2" max="3" width="13.19921875" style="5" customWidth="1"/>
    <col min="4" max="4" width="13.5" style="5" bestFit="1" customWidth="1"/>
    <col min="5" max="5" width="6.8984375" style="5" bestFit="1" customWidth="1"/>
    <col min="6" max="6" width="21.69921875" style="5" customWidth="1"/>
    <col min="7" max="7" width="6.8984375" style="5" bestFit="1" customWidth="1"/>
    <col min="8" max="8" width="22.19921875" style="5" customWidth="1"/>
    <col min="9" max="9" width="6.8984375" style="5" bestFit="1" customWidth="1"/>
    <col min="10" max="10" width="10.3984375" style="5" customWidth="1"/>
    <col min="11" max="11" width="6.8984375" style="5" bestFit="1" customWidth="1"/>
    <col min="12" max="12" width="32.19921875" style="5" customWidth="1"/>
    <col min="13" max="13" width="15.09765625" style="5" customWidth="1"/>
    <col min="14" max="14" width="16" style="5" customWidth="1"/>
    <col min="15" max="16384" width="8.69921875" style="5"/>
  </cols>
  <sheetData>
    <row r="1" spans="1:14" ht="24.6" x14ac:dyDescent="0.7">
      <c r="L1" s="17" t="s">
        <v>28</v>
      </c>
      <c r="M1" s="7"/>
    </row>
    <row r="2" spans="1:14" ht="30" x14ac:dyDescent="0.5">
      <c r="A2" s="192" t="s">
        <v>328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8"/>
    </row>
    <row r="3" spans="1:14" ht="25.2" thickBot="1" x14ac:dyDescent="0.5500000000000000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4" ht="12.6" customHeight="1" x14ac:dyDescent="0.5">
      <c r="A4" s="187" t="s">
        <v>1</v>
      </c>
      <c r="B4" s="187" t="s">
        <v>2</v>
      </c>
      <c r="C4" s="187" t="s">
        <v>29</v>
      </c>
      <c r="D4" s="187" t="s">
        <v>30</v>
      </c>
      <c r="E4" s="182" t="s">
        <v>31</v>
      </c>
      <c r="F4" s="183"/>
      <c r="G4" s="182" t="s">
        <v>32</v>
      </c>
      <c r="H4" s="183"/>
      <c r="I4" s="182" t="s">
        <v>33</v>
      </c>
      <c r="J4" s="183"/>
      <c r="K4" s="182" t="s">
        <v>34</v>
      </c>
      <c r="L4" s="183"/>
      <c r="M4" s="182" t="s">
        <v>35</v>
      </c>
      <c r="N4" s="183"/>
    </row>
    <row r="5" spans="1:14" ht="25.2" customHeight="1" thickBot="1" x14ac:dyDescent="0.55000000000000004">
      <c r="A5" s="188"/>
      <c r="B5" s="188"/>
      <c r="C5" s="188"/>
      <c r="D5" s="188"/>
      <c r="E5" s="184"/>
      <c r="F5" s="185"/>
      <c r="G5" s="184"/>
      <c r="H5" s="185"/>
      <c r="I5" s="184"/>
      <c r="J5" s="185"/>
      <c r="K5" s="184"/>
      <c r="L5" s="185"/>
      <c r="M5" s="184"/>
      <c r="N5" s="185"/>
    </row>
    <row r="6" spans="1:14" ht="18.600000000000001" customHeight="1" thickBot="1" x14ac:dyDescent="0.55000000000000004">
      <c r="A6" s="189"/>
      <c r="B6" s="189"/>
      <c r="C6" s="189"/>
      <c r="D6" s="189"/>
      <c r="E6" s="82" t="s">
        <v>36</v>
      </c>
      <c r="F6" s="83" t="s">
        <v>37</v>
      </c>
      <c r="G6" s="82" t="s">
        <v>36</v>
      </c>
      <c r="H6" s="83" t="s">
        <v>37</v>
      </c>
      <c r="I6" s="83" t="s">
        <v>36</v>
      </c>
      <c r="J6" s="82" t="s">
        <v>37</v>
      </c>
      <c r="K6" s="83" t="s">
        <v>36</v>
      </c>
      <c r="L6" s="84" t="s">
        <v>37</v>
      </c>
      <c r="M6" s="83" t="s">
        <v>36</v>
      </c>
      <c r="N6" s="84" t="s">
        <v>37</v>
      </c>
    </row>
    <row r="7" spans="1:14" ht="21" customHeight="1" x14ac:dyDescent="0.5">
      <c r="A7" s="170">
        <v>1</v>
      </c>
      <c r="B7" s="170" t="s">
        <v>19</v>
      </c>
      <c r="C7" s="166" t="s">
        <v>38</v>
      </c>
      <c r="D7" s="166">
        <v>7</v>
      </c>
      <c r="E7" s="168">
        <v>6</v>
      </c>
      <c r="F7" s="56" t="s">
        <v>39</v>
      </c>
      <c r="G7" s="178"/>
      <c r="H7" s="166"/>
      <c r="I7" s="166"/>
      <c r="J7" s="166"/>
      <c r="K7" s="166">
        <v>1</v>
      </c>
      <c r="L7" s="166" t="s">
        <v>186</v>
      </c>
      <c r="M7" s="166">
        <v>2</v>
      </c>
      <c r="N7" s="10"/>
    </row>
    <row r="8" spans="1:14" ht="21" customHeight="1" x14ac:dyDescent="0.5">
      <c r="A8" s="171"/>
      <c r="B8" s="171"/>
      <c r="C8" s="177"/>
      <c r="D8" s="177"/>
      <c r="E8" s="176"/>
      <c r="F8" s="57" t="s">
        <v>40</v>
      </c>
      <c r="G8" s="186"/>
      <c r="H8" s="177"/>
      <c r="I8" s="177"/>
      <c r="J8" s="177"/>
      <c r="K8" s="177"/>
      <c r="L8" s="177"/>
      <c r="M8" s="177"/>
      <c r="N8" s="57" t="s">
        <v>41</v>
      </c>
    </row>
    <row r="9" spans="1:14" ht="21" customHeight="1" thickBot="1" x14ac:dyDescent="0.55000000000000004">
      <c r="A9" s="172"/>
      <c r="B9" s="172"/>
      <c r="C9" s="167"/>
      <c r="D9" s="167"/>
      <c r="E9" s="169"/>
      <c r="F9" s="57" t="s">
        <v>42</v>
      </c>
      <c r="G9" s="179"/>
      <c r="H9" s="167"/>
      <c r="I9" s="167"/>
      <c r="J9" s="167"/>
      <c r="K9" s="167"/>
      <c r="L9" s="167"/>
      <c r="M9" s="167"/>
      <c r="N9" s="58" t="s">
        <v>43</v>
      </c>
    </row>
    <row r="10" spans="1:14" ht="21" customHeight="1" x14ac:dyDescent="0.5">
      <c r="A10" s="171"/>
      <c r="B10" s="171"/>
      <c r="C10" s="177"/>
      <c r="D10" s="177"/>
      <c r="E10" s="176"/>
      <c r="F10" s="57" t="s">
        <v>44</v>
      </c>
      <c r="G10" s="186"/>
      <c r="H10" s="177"/>
      <c r="I10" s="177"/>
      <c r="J10" s="177"/>
      <c r="K10" s="177"/>
      <c r="L10" s="177"/>
      <c r="M10" s="177"/>
      <c r="N10" s="57"/>
    </row>
    <row r="11" spans="1:14" ht="25.2" thickBot="1" x14ac:dyDescent="0.55000000000000004">
      <c r="A11" s="171"/>
      <c r="B11" s="171"/>
      <c r="C11" s="177"/>
      <c r="D11" s="177"/>
      <c r="E11" s="176"/>
      <c r="F11" s="57" t="s">
        <v>45</v>
      </c>
      <c r="G11" s="186"/>
      <c r="H11" s="177"/>
      <c r="I11" s="177"/>
      <c r="J11" s="177"/>
      <c r="K11" s="177"/>
      <c r="L11" s="177"/>
      <c r="M11" s="167"/>
      <c r="N11" s="58"/>
    </row>
    <row r="12" spans="1:14" ht="25.2" thickBot="1" x14ac:dyDescent="0.55000000000000004">
      <c r="A12" s="171"/>
      <c r="B12" s="171"/>
      <c r="C12" s="167"/>
      <c r="D12" s="167"/>
      <c r="E12" s="169"/>
      <c r="F12" s="58" t="s">
        <v>46</v>
      </c>
      <c r="G12" s="179"/>
      <c r="H12" s="167"/>
      <c r="I12" s="167"/>
      <c r="J12" s="167"/>
      <c r="K12" s="167"/>
      <c r="L12" s="167"/>
      <c r="M12" s="57"/>
      <c r="N12" s="57"/>
    </row>
    <row r="13" spans="1:14" ht="24.6" x14ac:dyDescent="0.5">
      <c r="A13" s="171"/>
      <c r="B13" s="171"/>
      <c r="C13" s="166" t="s">
        <v>47</v>
      </c>
      <c r="D13" s="166">
        <v>2</v>
      </c>
      <c r="E13" s="166">
        <v>2</v>
      </c>
      <c r="F13" s="57" t="s">
        <v>48</v>
      </c>
      <c r="G13" s="166"/>
      <c r="H13" s="166"/>
      <c r="I13" s="166"/>
      <c r="J13" s="166"/>
      <c r="K13" s="166"/>
      <c r="L13" s="180"/>
      <c r="M13" s="56"/>
      <c r="N13" s="56"/>
    </row>
    <row r="14" spans="1:14" ht="25.2" thickBot="1" x14ac:dyDescent="0.55000000000000004">
      <c r="A14" s="171"/>
      <c r="B14" s="171"/>
      <c r="C14" s="167"/>
      <c r="D14" s="167"/>
      <c r="E14" s="167"/>
      <c r="F14" s="58" t="s">
        <v>49</v>
      </c>
      <c r="G14" s="167"/>
      <c r="H14" s="167"/>
      <c r="I14" s="167"/>
      <c r="J14" s="167"/>
      <c r="K14" s="167"/>
      <c r="L14" s="181"/>
      <c r="M14" s="58"/>
      <c r="N14" s="26"/>
    </row>
    <row r="15" spans="1:14" ht="49.8" thickBot="1" x14ac:dyDescent="0.55000000000000004">
      <c r="A15" s="171"/>
      <c r="B15" s="171"/>
      <c r="C15" s="58" t="s">
        <v>50</v>
      </c>
      <c r="D15" s="58">
        <v>1</v>
      </c>
      <c r="E15" s="58">
        <v>1</v>
      </c>
      <c r="F15" s="58" t="s">
        <v>51</v>
      </c>
      <c r="G15" s="58"/>
      <c r="H15" s="58"/>
      <c r="I15" s="60"/>
      <c r="J15" s="58"/>
      <c r="K15" s="58"/>
      <c r="L15" s="26"/>
      <c r="M15" s="58"/>
      <c r="N15" s="26"/>
    </row>
    <row r="16" spans="1:14" ht="25.2" thickBot="1" x14ac:dyDescent="0.55000000000000004">
      <c r="A16" s="172"/>
      <c r="B16" s="172"/>
      <c r="C16" s="44" t="s">
        <v>52</v>
      </c>
      <c r="D16" s="44">
        <v>10</v>
      </c>
      <c r="E16" s="44">
        <v>9</v>
      </c>
      <c r="F16" s="45"/>
      <c r="G16" s="44"/>
      <c r="H16" s="44"/>
      <c r="I16" s="45"/>
      <c r="J16" s="44"/>
      <c r="K16" s="44">
        <v>1</v>
      </c>
      <c r="L16" s="46"/>
      <c r="M16" s="61">
        <v>2</v>
      </c>
      <c r="N16" s="30"/>
    </row>
    <row r="17" spans="1:14" ht="24.6" x14ac:dyDescent="0.5">
      <c r="A17" s="170">
        <v>2</v>
      </c>
      <c r="B17" s="170" t="s">
        <v>21</v>
      </c>
      <c r="C17" s="166" t="s">
        <v>38</v>
      </c>
      <c r="D17" s="166">
        <v>10</v>
      </c>
      <c r="E17" s="166">
        <v>9</v>
      </c>
      <c r="F17" s="59" t="s">
        <v>53</v>
      </c>
      <c r="G17" s="166"/>
      <c r="H17" s="166"/>
      <c r="I17" s="166"/>
      <c r="J17" s="166"/>
      <c r="K17" s="166">
        <v>1</v>
      </c>
      <c r="L17" s="166" t="s">
        <v>54</v>
      </c>
      <c r="M17" s="32"/>
      <c r="N17" s="31"/>
    </row>
    <row r="18" spans="1:14" ht="21" customHeight="1" x14ac:dyDescent="0.5">
      <c r="A18" s="171"/>
      <c r="B18" s="171"/>
      <c r="C18" s="177"/>
      <c r="D18" s="177"/>
      <c r="E18" s="177"/>
      <c r="F18" s="63" t="s">
        <v>55</v>
      </c>
      <c r="G18" s="177"/>
      <c r="H18" s="177"/>
      <c r="I18" s="177"/>
      <c r="J18" s="177"/>
      <c r="K18" s="177"/>
      <c r="L18" s="177"/>
      <c r="M18" s="34"/>
      <c r="N18" s="33"/>
    </row>
    <row r="19" spans="1:14" ht="21" customHeight="1" x14ac:dyDescent="0.5">
      <c r="A19" s="171"/>
      <c r="B19" s="171"/>
      <c r="C19" s="177"/>
      <c r="D19" s="177"/>
      <c r="E19" s="177"/>
      <c r="F19" s="63" t="s">
        <v>56</v>
      </c>
      <c r="G19" s="177"/>
      <c r="H19" s="177"/>
      <c r="I19" s="177"/>
      <c r="J19" s="177"/>
      <c r="K19" s="177"/>
      <c r="L19" s="177"/>
      <c r="M19" s="34"/>
      <c r="N19" s="33"/>
    </row>
    <row r="20" spans="1:14" ht="21" customHeight="1" x14ac:dyDescent="0.5">
      <c r="A20" s="171"/>
      <c r="B20" s="171"/>
      <c r="C20" s="177"/>
      <c r="D20" s="177"/>
      <c r="E20" s="177"/>
      <c r="F20" s="63" t="s">
        <v>57</v>
      </c>
      <c r="G20" s="177"/>
      <c r="H20" s="177"/>
      <c r="I20" s="177"/>
      <c r="J20" s="177"/>
      <c r="K20" s="177"/>
      <c r="L20" s="177"/>
      <c r="M20" s="34"/>
      <c r="N20" s="33"/>
    </row>
    <row r="21" spans="1:14" ht="21" customHeight="1" x14ac:dyDescent="0.5">
      <c r="A21" s="171"/>
      <c r="B21" s="171"/>
      <c r="C21" s="177"/>
      <c r="D21" s="177"/>
      <c r="E21" s="177"/>
      <c r="F21" s="63" t="s">
        <v>58</v>
      </c>
      <c r="G21" s="177"/>
      <c r="H21" s="177"/>
      <c r="I21" s="177"/>
      <c r="J21" s="177"/>
      <c r="K21" s="177"/>
      <c r="L21" s="177"/>
      <c r="M21" s="34"/>
      <c r="N21" s="33"/>
    </row>
    <row r="22" spans="1:14" ht="21" customHeight="1" x14ac:dyDescent="0.5">
      <c r="A22" s="171"/>
      <c r="B22" s="171"/>
      <c r="C22" s="177"/>
      <c r="D22" s="177"/>
      <c r="E22" s="177"/>
      <c r="F22" s="63" t="s">
        <v>59</v>
      </c>
      <c r="G22" s="177"/>
      <c r="H22" s="177"/>
      <c r="I22" s="177"/>
      <c r="J22" s="177"/>
      <c r="K22" s="177"/>
      <c r="L22" s="177"/>
      <c r="M22" s="34"/>
      <c r="N22" s="33"/>
    </row>
    <row r="23" spans="1:14" ht="21" customHeight="1" x14ac:dyDescent="0.5">
      <c r="A23" s="171"/>
      <c r="B23" s="171"/>
      <c r="C23" s="177"/>
      <c r="D23" s="177"/>
      <c r="E23" s="177"/>
      <c r="F23" s="63" t="s">
        <v>60</v>
      </c>
      <c r="G23" s="177"/>
      <c r="H23" s="177"/>
      <c r="I23" s="177"/>
      <c r="J23" s="177"/>
      <c r="K23" s="177"/>
      <c r="L23" s="177"/>
      <c r="M23" s="34"/>
      <c r="N23" s="33"/>
    </row>
    <row r="24" spans="1:14" ht="21" customHeight="1" x14ac:dyDescent="0.5">
      <c r="A24" s="171"/>
      <c r="B24" s="171"/>
      <c r="C24" s="177"/>
      <c r="D24" s="177"/>
      <c r="E24" s="177"/>
      <c r="F24" s="63" t="s">
        <v>61</v>
      </c>
      <c r="G24" s="177"/>
      <c r="H24" s="177"/>
      <c r="I24" s="177"/>
      <c r="J24" s="177"/>
      <c r="K24" s="177"/>
      <c r="L24" s="177"/>
      <c r="M24" s="34"/>
      <c r="N24" s="33"/>
    </row>
    <row r="25" spans="1:14" ht="21" customHeight="1" thickBot="1" x14ac:dyDescent="0.55000000000000004">
      <c r="A25" s="171"/>
      <c r="B25" s="171"/>
      <c r="C25" s="167"/>
      <c r="D25" s="167"/>
      <c r="E25" s="167"/>
      <c r="F25" s="60" t="s">
        <v>62</v>
      </c>
      <c r="G25" s="167"/>
      <c r="H25" s="167"/>
      <c r="I25" s="167"/>
      <c r="J25" s="167"/>
      <c r="K25" s="167"/>
      <c r="L25" s="167"/>
      <c r="M25" s="35"/>
      <c r="N25" s="36"/>
    </row>
    <row r="26" spans="1:14" ht="62.4" customHeight="1" thickBot="1" x14ac:dyDescent="0.55000000000000004">
      <c r="A26" s="171"/>
      <c r="B26" s="171"/>
      <c r="C26" s="27" t="s">
        <v>47</v>
      </c>
      <c r="D26" s="27">
        <v>1</v>
      </c>
      <c r="E26" s="56"/>
      <c r="F26" s="59"/>
      <c r="G26" s="27"/>
      <c r="H26" s="28"/>
      <c r="I26" s="27"/>
      <c r="J26" s="28"/>
      <c r="K26" s="27">
        <v>1</v>
      </c>
      <c r="L26" s="29" t="s">
        <v>63</v>
      </c>
      <c r="M26" s="37"/>
      <c r="N26" s="38"/>
    </row>
    <row r="27" spans="1:14" ht="25.2" thickBot="1" x14ac:dyDescent="0.55000000000000004">
      <c r="A27" s="171"/>
      <c r="B27" s="171"/>
      <c r="C27" s="166" t="s">
        <v>50</v>
      </c>
      <c r="D27" s="166">
        <v>3</v>
      </c>
      <c r="E27" s="168">
        <v>2</v>
      </c>
      <c r="F27" s="56" t="s">
        <v>64</v>
      </c>
      <c r="G27" s="90"/>
      <c r="H27" s="90"/>
      <c r="I27" s="90"/>
      <c r="J27" s="90"/>
      <c r="K27" s="166">
        <v>1</v>
      </c>
      <c r="L27" s="166" t="s">
        <v>187</v>
      </c>
      <c r="M27" s="37"/>
      <c r="N27" s="38"/>
    </row>
    <row r="28" spans="1:14" ht="25.2" thickBot="1" x14ac:dyDescent="0.55000000000000004">
      <c r="A28" s="171"/>
      <c r="B28" s="171"/>
      <c r="C28" s="167"/>
      <c r="D28" s="167"/>
      <c r="E28" s="169"/>
      <c r="F28" s="58" t="s">
        <v>65</v>
      </c>
      <c r="G28" s="91"/>
      <c r="H28" s="91"/>
      <c r="I28" s="91"/>
      <c r="J28" s="91"/>
      <c r="K28" s="167"/>
      <c r="L28" s="167"/>
      <c r="M28" s="52"/>
      <c r="N28" s="38"/>
    </row>
    <row r="29" spans="1:14" ht="25.2" thickBot="1" x14ac:dyDescent="0.55000000000000004">
      <c r="A29" s="171"/>
      <c r="B29" s="171"/>
      <c r="C29" s="166" t="s">
        <v>66</v>
      </c>
      <c r="D29" s="166">
        <v>2</v>
      </c>
      <c r="E29" s="176">
        <v>2</v>
      </c>
      <c r="F29" s="61" t="s">
        <v>67</v>
      </c>
      <c r="G29" s="56"/>
      <c r="H29" s="54"/>
      <c r="I29" s="56"/>
      <c r="J29" s="54"/>
      <c r="K29" s="56"/>
      <c r="L29" s="59"/>
      <c r="M29" s="52"/>
      <c r="N29" s="38"/>
    </row>
    <row r="30" spans="1:14" ht="25.2" thickBot="1" x14ac:dyDescent="0.55000000000000004">
      <c r="A30" s="171"/>
      <c r="B30" s="171"/>
      <c r="C30" s="167"/>
      <c r="D30" s="167"/>
      <c r="E30" s="169"/>
      <c r="F30" s="62" t="s">
        <v>68</v>
      </c>
      <c r="G30" s="58"/>
      <c r="H30" s="55"/>
      <c r="I30" s="58"/>
      <c r="J30" s="55"/>
      <c r="K30" s="58"/>
      <c r="L30" s="60"/>
      <c r="M30" s="53"/>
      <c r="N30" s="31"/>
    </row>
    <row r="31" spans="1:14" ht="25.2" thickBot="1" x14ac:dyDescent="0.55000000000000004">
      <c r="A31" s="172"/>
      <c r="B31" s="172"/>
      <c r="C31" s="43" t="s">
        <v>52</v>
      </c>
      <c r="D31" s="43">
        <v>16</v>
      </c>
      <c r="E31" s="43">
        <v>13</v>
      </c>
      <c r="F31" s="45"/>
      <c r="G31" s="40"/>
      <c r="H31" s="45"/>
      <c r="I31" s="45"/>
      <c r="J31" s="45"/>
      <c r="K31" s="44">
        <v>3</v>
      </c>
      <c r="L31" s="44"/>
      <c r="M31" s="32"/>
      <c r="N31" s="31"/>
    </row>
    <row r="32" spans="1:14" ht="24.6" customHeight="1" x14ac:dyDescent="0.5">
      <c r="A32" s="170">
        <v>3</v>
      </c>
      <c r="B32" s="173" t="s">
        <v>118</v>
      </c>
      <c r="C32" s="166" t="s">
        <v>66</v>
      </c>
      <c r="D32" s="166">
        <v>2</v>
      </c>
      <c r="E32" s="166">
        <v>2</v>
      </c>
      <c r="F32" s="56" t="s">
        <v>70</v>
      </c>
      <c r="G32" s="166"/>
      <c r="H32" s="92"/>
      <c r="I32" s="178"/>
      <c r="J32" s="166"/>
      <c r="K32" s="166"/>
      <c r="L32" s="16"/>
      <c r="M32" s="14"/>
      <c r="N32" s="10"/>
    </row>
    <row r="33" spans="1:14" ht="25.2" thickBot="1" x14ac:dyDescent="0.55000000000000004">
      <c r="A33" s="171"/>
      <c r="B33" s="174"/>
      <c r="C33" s="167"/>
      <c r="D33" s="167"/>
      <c r="E33" s="167"/>
      <c r="F33" s="58" t="s">
        <v>69</v>
      </c>
      <c r="G33" s="167"/>
      <c r="H33" s="93"/>
      <c r="I33" s="179"/>
      <c r="J33" s="167"/>
      <c r="K33" s="167"/>
      <c r="L33" s="19"/>
      <c r="M33" s="15"/>
      <c r="N33" s="11"/>
    </row>
    <row r="34" spans="1:14" ht="25.2" thickBot="1" x14ac:dyDescent="0.55000000000000004">
      <c r="A34" s="172"/>
      <c r="B34" s="175"/>
      <c r="C34" s="39" t="s">
        <v>52</v>
      </c>
      <c r="D34" s="40">
        <v>2</v>
      </c>
      <c r="E34" s="40">
        <v>2</v>
      </c>
      <c r="F34" s="45"/>
      <c r="G34" s="68"/>
      <c r="H34" s="66"/>
      <c r="I34" s="45"/>
      <c r="J34" s="45"/>
      <c r="K34" s="45"/>
      <c r="L34" s="66"/>
      <c r="M34" s="15"/>
      <c r="N34" s="11"/>
    </row>
    <row r="35" spans="1:14" ht="25.2" thickBot="1" x14ac:dyDescent="0.55000000000000004">
      <c r="A35" s="170">
        <v>4</v>
      </c>
      <c r="B35" s="173" t="s">
        <v>184</v>
      </c>
      <c r="C35" s="166" t="s">
        <v>66</v>
      </c>
      <c r="D35" s="166">
        <v>2</v>
      </c>
      <c r="E35" s="166"/>
      <c r="F35" s="56"/>
      <c r="G35" s="166">
        <v>2</v>
      </c>
      <c r="H35" s="69" t="s">
        <v>115</v>
      </c>
      <c r="I35" s="166"/>
      <c r="J35" s="54"/>
      <c r="K35" s="166"/>
      <c r="L35" s="69"/>
      <c r="M35" s="67"/>
      <c r="N35" s="11"/>
    </row>
    <row r="36" spans="1:14" ht="25.2" thickBot="1" x14ac:dyDescent="0.55000000000000004">
      <c r="A36" s="171"/>
      <c r="B36" s="171"/>
      <c r="C36" s="167"/>
      <c r="D36" s="167"/>
      <c r="E36" s="167"/>
      <c r="F36" s="58"/>
      <c r="G36" s="167"/>
      <c r="H36" s="70" t="s">
        <v>116</v>
      </c>
      <c r="I36" s="167"/>
      <c r="J36" s="55"/>
      <c r="K36" s="167"/>
      <c r="L36" s="70"/>
      <c r="M36" s="67"/>
      <c r="N36" s="11"/>
    </row>
    <row r="37" spans="1:14" ht="25.2" thickBot="1" x14ac:dyDescent="0.55000000000000004">
      <c r="A37" s="172"/>
      <c r="B37" s="172"/>
      <c r="C37" s="39" t="s">
        <v>52</v>
      </c>
      <c r="D37" s="40">
        <v>2</v>
      </c>
      <c r="E37" s="40"/>
      <c r="F37" s="39"/>
      <c r="G37" s="41">
        <v>2</v>
      </c>
      <c r="H37" s="42"/>
      <c r="I37" s="39"/>
      <c r="J37" s="39"/>
      <c r="K37" s="39"/>
      <c r="L37" s="42"/>
      <c r="M37" s="15"/>
      <c r="N37" s="11"/>
    </row>
    <row r="38" spans="1:14" ht="40.950000000000003" customHeight="1" thickBot="1" x14ac:dyDescent="0.8">
      <c r="A38" s="190" t="s">
        <v>52</v>
      </c>
      <c r="B38" s="191"/>
      <c r="C38" s="64"/>
      <c r="D38" s="47">
        <v>30</v>
      </c>
      <c r="E38" s="47">
        <v>24</v>
      </c>
      <c r="F38" s="64"/>
      <c r="G38" s="47">
        <v>2</v>
      </c>
      <c r="H38" s="47"/>
      <c r="I38" s="64"/>
      <c r="J38" s="64"/>
      <c r="K38" s="64">
        <v>4</v>
      </c>
      <c r="L38" s="48"/>
      <c r="M38" s="15"/>
      <c r="N38" s="11"/>
    </row>
    <row r="39" spans="1:14" ht="18.600000000000001" x14ac:dyDescent="0.5">
      <c r="A39" s="12"/>
    </row>
    <row r="40" spans="1:14" ht="18.600000000000001" x14ac:dyDescent="0.5">
      <c r="A40" s="12"/>
    </row>
    <row r="41" spans="1:14" ht="18.600000000000001" x14ac:dyDescent="0.5">
      <c r="A41" s="12"/>
    </row>
  </sheetData>
  <mergeCells count="68">
    <mergeCell ref="A38:B38"/>
    <mergeCell ref="A2:L2"/>
    <mergeCell ref="K4:L5"/>
    <mergeCell ref="E32:E33"/>
    <mergeCell ref="J32:J33"/>
    <mergeCell ref="E4:F5"/>
    <mergeCell ref="G4:H5"/>
    <mergeCell ref="K32:K33"/>
    <mergeCell ref="D32:D33"/>
    <mergeCell ref="G32:G33"/>
    <mergeCell ref="A4:A6"/>
    <mergeCell ref="B4:B6"/>
    <mergeCell ref="D4:D6"/>
    <mergeCell ref="B7:B16"/>
    <mergeCell ref="A7:A16"/>
    <mergeCell ref="K13:K14"/>
    <mergeCell ref="M4:N5"/>
    <mergeCell ref="I4:J5"/>
    <mergeCell ref="C13:C14"/>
    <mergeCell ref="D13:D14"/>
    <mergeCell ref="E13:E14"/>
    <mergeCell ref="G13:G14"/>
    <mergeCell ref="H13:H14"/>
    <mergeCell ref="C7:C12"/>
    <mergeCell ref="D7:D12"/>
    <mergeCell ref="E7:E12"/>
    <mergeCell ref="G7:G12"/>
    <mergeCell ref="H7:H12"/>
    <mergeCell ref="C4:C6"/>
    <mergeCell ref="M7:M11"/>
    <mergeCell ref="I13:I14"/>
    <mergeCell ref="J13:J14"/>
    <mergeCell ref="K7:K12"/>
    <mergeCell ref="L7:L12"/>
    <mergeCell ref="I7:I12"/>
    <mergeCell ref="J7:J12"/>
    <mergeCell ref="L13:L14"/>
    <mergeCell ref="L17:L25"/>
    <mergeCell ref="I17:I25"/>
    <mergeCell ref="J17:J25"/>
    <mergeCell ref="G35:G36"/>
    <mergeCell ref="I35:I36"/>
    <mergeCell ref="K35:K36"/>
    <mergeCell ref="I32:I33"/>
    <mergeCell ref="G17:G25"/>
    <mergeCell ref="K17:K25"/>
    <mergeCell ref="H17:H25"/>
    <mergeCell ref="K27:K28"/>
    <mergeCell ref="L27:L28"/>
    <mergeCell ref="A35:A37"/>
    <mergeCell ref="B35:B37"/>
    <mergeCell ref="C35:C36"/>
    <mergeCell ref="D35:D36"/>
    <mergeCell ref="E35:E36"/>
    <mergeCell ref="C27:C28"/>
    <mergeCell ref="D27:D28"/>
    <mergeCell ref="E27:E28"/>
    <mergeCell ref="A32:A34"/>
    <mergeCell ref="B32:B34"/>
    <mergeCell ref="C32:C33"/>
    <mergeCell ref="A17:A31"/>
    <mergeCell ref="B17:B31"/>
    <mergeCell ref="C29:C30"/>
    <mergeCell ref="D29:D30"/>
    <mergeCell ref="E29:E30"/>
    <mergeCell ref="C17:C25"/>
    <mergeCell ref="D17:D25"/>
    <mergeCell ref="E17:E25"/>
  </mergeCells>
  <phoneticPr fontId="2" type="noConversion"/>
  <pageMargins left="0.31496062992125984" right="0.31496062992125984" top="0.55118110236220474" bottom="0.35433070866141736" header="0.31496062992125984" footer="0.31496062992125984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7ED7-A7A0-4423-A327-1CD2B5008184}">
  <sheetPr codeName="Sheet3">
    <tabColor rgb="FF00B050"/>
    <pageSetUpPr fitToPage="1"/>
  </sheetPr>
  <dimension ref="A1:L9"/>
  <sheetViews>
    <sheetView view="pageBreakPreview" zoomScale="85" zoomScaleNormal="70" zoomScaleSheetLayoutView="85" workbookViewId="0">
      <pane ySplit="4" topLeftCell="A5" activePane="bottomLeft" state="frozen"/>
      <selection activeCell="A6" sqref="A6:T9"/>
      <selection pane="bottomLeft" activeCell="K18" sqref="K18"/>
    </sheetView>
  </sheetViews>
  <sheetFormatPr defaultColWidth="8.69921875" defaultRowHeight="16.8" x14ac:dyDescent="0.5"/>
  <cols>
    <col min="1" max="1" width="3.69921875" style="5" customWidth="1"/>
    <col min="2" max="2" width="12.8984375" style="5" customWidth="1"/>
    <col min="3" max="3" width="16.69921875" style="5" bestFit="1" customWidth="1"/>
    <col min="4" max="4" width="20.19921875" style="5" bestFit="1" customWidth="1"/>
    <col min="5" max="5" width="18.5" style="5" bestFit="1" customWidth="1"/>
    <col min="6" max="6" width="13.09765625" style="5" bestFit="1" customWidth="1"/>
    <col min="7" max="7" width="10.09765625" style="5" bestFit="1" customWidth="1"/>
    <col min="8" max="8" width="11.8984375" style="5" bestFit="1" customWidth="1"/>
    <col min="9" max="9" width="16.09765625" style="5" bestFit="1" customWidth="1"/>
    <col min="10" max="10" width="22.59765625" style="5" customWidth="1"/>
    <col min="11" max="11" width="34" style="5" bestFit="1" customWidth="1"/>
    <col min="12" max="12" width="62.3984375" style="5" customWidth="1"/>
    <col min="13" max="16384" width="8.69921875" style="5"/>
  </cols>
  <sheetData>
    <row r="1" spans="1:12" ht="24.6" x14ac:dyDescent="0.7">
      <c r="A1" s="13"/>
      <c r="B1" s="13"/>
      <c r="C1" s="13"/>
      <c r="D1" s="13"/>
      <c r="E1" s="13"/>
      <c r="F1" s="13"/>
      <c r="G1" s="13"/>
      <c r="H1" s="13"/>
      <c r="I1" s="13"/>
      <c r="J1" s="13"/>
      <c r="K1" s="17"/>
      <c r="L1" s="6"/>
    </row>
    <row r="2" spans="1:12" ht="27" x14ac:dyDescent="0.5">
      <c r="A2" s="193" t="s">
        <v>329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4" spans="1:12" ht="40.200000000000003" customHeight="1" x14ac:dyDescent="0.5">
      <c r="A4" s="85" t="s">
        <v>1</v>
      </c>
      <c r="B4" s="85" t="s">
        <v>2</v>
      </c>
      <c r="C4" s="85" t="s">
        <v>71</v>
      </c>
      <c r="D4" s="85" t="s">
        <v>72</v>
      </c>
      <c r="E4" s="85" t="s">
        <v>73</v>
      </c>
      <c r="F4" s="85" t="s">
        <v>74</v>
      </c>
      <c r="G4" s="85" t="s">
        <v>75</v>
      </c>
      <c r="H4" s="85" t="s">
        <v>76</v>
      </c>
      <c r="I4" s="85" t="s">
        <v>77</v>
      </c>
      <c r="J4" s="85" t="s">
        <v>78</v>
      </c>
      <c r="K4" s="85" t="s">
        <v>79</v>
      </c>
      <c r="L4" s="85" t="s">
        <v>80</v>
      </c>
    </row>
    <row r="5" spans="1:12" s="20" customFormat="1" ht="63" x14ac:dyDescent="0.5">
      <c r="A5" s="21">
        <v>1</v>
      </c>
      <c r="B5" s="21" t="s">
        <v>21</v>
      </c>
      <c r="C5" s="21" t="s">
        <v>85</v>
      </c>
      <c r="D5" s="87" t="s">
        <v>86</v>
      </c>
      <c r="E5" s="23" t="s">
        <v>83</v>
      </c>
      <c r="F5" s="21" t="s">
        <v>141</v>
      </c>
      <c r="G5" s="21" t="s">
        <v>140</v>
      </c>
      <c r="H5" s="21" t="s">
        <v>81</v>
      </c>
      <c r="I5" s="21">
        <v>100</v>
      </c>
      <c r="J5" s="76" t="s">
        <v>84</v>
      </c>
      <c r="K5" s="77" t="s">
        <v>119</v>
      </c>
      <c r="L5" s="25" t="s">
        <v>139</v>
      </c>
    </row>
    <row r="6" spans="1:12" s="20" customFormat="1" ht="63" x14ac:dyDescent="0.5">
      <c r="A6" s="21">
        <v>2</v>
      </c>
      <c r="B6" s="21" t="s">
        <v>182</v>
      </c>
      <c r="C6" s="21" t="s">
        <v>69</v>
      </c>
      <c r="D6" s="87" t="s">
        <v>89</v>
      </c>
      <c r="E6" s="23" t="s">
        <v>87</v>
      </c>
      <c r="F6" s="21" t="s">
        <v>88</v>
      </c>
      <c r="G6" s="21" t="s">
        <v>88</v>
      </c>
      <c r="H6" s="21" t="s">
        <v>22</v>
      </c>
      <c r="I6" s="21">
        <v>100</v>
      </c>
      <c r="J6" s="21" t="s">
        <v>90</v>
      </c>
      <c r="K6" s="21"/>
      <c r="L6" s="25" t="s">
        <v>185</v>
      </c>
    </row>
    <row r="7" spans="1:12" s="20" customFormat="1" ht="63" x14ac:dyDescent="0.5">
      <c r="A7" s="21">
        <v>3</v>
      </c>
      <c r="B7" s="21" t="s">
        <v>182</v>
      </c>
      <c r="C7" s="21" t="s">
        <v>70</v>
      </c>
      <c r="D7" s="87" t="s">
        <v>91</v>
      </c>
      <c r="E7" s="23" t="s">
        <v>87</v>
      </c>
      <c r="F7" s="21" t="s">
        <v>88</v>
      </c>
      <c r="G7" s="21" t="s">
        <v>88</v>
      </c>
      <c r="H7" s="21" t="s">
        <v>22</v>
      </c>
      <c r="I7" s="21">
        <v>100</v>
      </c>
      <c r="J7" s="24" t="s">
        <v>82</v>
      </c>
      <c r="K7" s="21"/>
      <c r="L7" s="25" t="s">
        <v>121</v>
      </c>
    </row>
    <row r="8" spans="1:12" ht="63" x14ac:dyDescent="0.5">
      <c r="A8" s="71">
        <v>4</v>
      </c>
      <c r="B8" s="21" t="s">
        <v>180</v>
      </c>
      <c r="C8" s="65" t="s">
        <v>115</v>
      </c>
      <c r="D8" s="87" t="s">
        <v>183</v>
      </c>
      <c r="E8" s="22" t="s">
        <v>87</v>
      </c>
      <c r="F8" s="21" t="s">
        <v>88</v>
      </c>
      <c r="G8" s="21" t="s">
        <v>88</v>
      </c>
      <c r="H8" s="65" t="s">
        <v>22</v>
      </c>
      <c r="I8" s="65">
        <v>16</v>
      </c>
      <c r="J8" s="24" t="s">
        <v>82</v>
      </c>
      <c r="K8" s="65"/>
      <c r="L8" s="23" t="s">
        <v>334</v>
      </c>
    </row>
    <row r="9" spans="1:12" ht="63.6" thickBot="1" x14ac:dyDescent="0.55000000000000004">
      <c r="A9" s="72">
        <v>5</v>
      </c>
      <c r="B9" s="21" t="s">
        <v>180</v>
      </c>
      <c r="C9" s="73" t="s">
        <v>116</v>
      </c>
      <c r="D9" s="88" t="s">
        <v>181</v>
      </c>
      <c r="E9" s="74" t="s">
        <v>87</v>
      </c>
      <c r="F9" s="21" t="s">
        <v>88</v>
      </c>
      <c r="G9" s="21" t="s">
        <v>88</v>
      </c>
      <c r="H9" s="73" t="s">
        <v>22</v>
      </c>
      <c r="I9" s="73">
        <v>9</v>
      </c>
      <c r="J9" s="78" t="s">
        <v>126</v>
      </c>
      <c r="K9" s="73"/>
      <c r="L9" s="75" t="s">
        <v>335</v>
      </c>
    </row>
  </sheetData>
  <mergeCells count="1">
    <mergeCell ref="A2:L2"/>
  </mergeCells>
  <phoneticPr fontId="3" alignment="center"/>
  <pageMargins left="0.31496062992125984" right="0.31496062992125984" top="0.55118110236220474" bottom="0.35433070866141736" header="0.31496062992125984" footer="0.31496062992125984"/>
  <pageSetup paperSize="9"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9A77-0D2C-44BD-9809-26775F261485}">
  <sheetPr>
    <tabColor rgb="FF00B050"/>
    <pageSetUpPr fitToPage="1"/>
  </sheetPr>
  <dimension ref="A1:F16"/>
  <sheetViews>
    <sheetView view="pageBreakPreview" zoomScale="85" zoomScaleNormal="70" zoomScaleSheetLayoutView="85" workbookViewId="0">
      <pane ySplit="2" topLeftCell="A3" activePane="bottomLeft" state="frozen"/>
      <selection activeCell="A6" sqref="A6:T9"/>
      <selection pane="bottomLeft" activeCell="N8" sqref="N8"/>
    </sheetView>
  </sheetViews>
  <sheetFormatPr defaultColWidth="8.69921875" defaultRowHeight="21" x14ac:dyDescent="0.25"/>
  <cols>
    <col min="1" max="1" width="5" style="49" customWidth="1"/>
    <col min="2" max="2" width="11.69921875" style="49" bestFit="1" customWidth="1"/>
    <col min="3" max="3" width="35" style="49" customWidth="1"/>
    <col min="4" max="4" width="26.69921875" style="49" customWidth="1"/>
    <col min="5" max="5" width="26.19921875" style="49" customWidth="1"/>
    <col min="6" max="6" width="41.5" style="49" customWidth="1"/>
    <col min="7" max="16384" width="8.69921875" style="49"/>
  </cols>
  <sheetData>
    <row r="1" spans="1:6" ht="55.95" customHeight="1" x14ac:dyDescent="0.25">
      <c r="A1" s="194" t="s">
        <v>330</v>
      </c>
      <c r="B1" s="194"/>
      <c r="C1" s="194"/>
      <c r="D1" s="194"/>
      <c r="E1" s="194"/>
      <c r="F1" s="194"/>
    </row>
    <row r="2" spans="1:6" ht="45" customHeight="1" x14ac:dyDescent="0.25">
      <c r="A2" s="80" t="s">
        <v>1</v>
      </c>
      <c r="B2" s="80" t="s">
        <v>92</v>
      </c>
      <c r="C2" s="80" t="s">
        <v>93</v>
      </c>
      <c r="D2" s="80" t="s">
        <v>94</v>
      </c>
      <c r="E2" s="80" t="s">
        <v>95</v>
      </c>
      <c r="F2" s="80" t="s">
        <v>96</v>
      </c>
    </row>
    <row r="3" spans="1:6" ht="64.95" customHeight="1" x14ac:dyDescent="0.25">
      <c r="A3" s="50">
        <v>1</v>
      </c>
      <c r="B3" s="50" t="s">
        <v>71</v>
      </c>
      <c r="C3" s="51" t="s">
        <v>97</v>
      </c>
      <c r="D3" s="51" t="s">
        <v>98</v>
      </c>
      <c r="E3" s="51" t="s">
        <v>99</v>
      </c>
      <c r="F3" s="51" t="s">
        <v>189</v>
      </c>
    </row>
    <row r="4" spans="1:6" ht="64.95" customHeight="1" x14ac:dyDescent="0.25">
      <c r="A4" s="50">
        <v>2</v>
      </c>
      <c r="B4" s="50" t="s">
        <v>71</v>
      </c>
      <c r="C4" s="51" t="s">
        <v>100</v>
      </c>
      <c r="D4" s="51" t="s">
        <v>101</v>
      </c>
      <c r="E4" s="51" t="s">
        <v>326</v>
      </c>
      <c r="F4" s="51" t="s">
        <v>129</v>
      </c>
    </row>
    <row r="5" spans="1:6" ht="64.95" customHeight="1" x14ac:dyDescent="0.25">
      <c r="A5" s="50">
        <v>3</v>
      </c>
      <c r="B5" s="50" t="s">
        <v>71</v>
      </c>
      <c r="C5" s="51" t="s">
        <v>100</v>
      </c>
      <c r="D5" s="51" t="s">
        <v>117</v>
      </c>
      <c r="E5" s="51" t="s">
        <v>326</v>
      </c>
      <c r="F5" s="79" t="s">
        <v>336</v>
      </c>
    </row>
    <row r="6" spans="1:6" ht="64.95" customHeight="1" x14ac:dyDescent="0.25">
      <c r="A6" s="50">
        <v>4</v>
      </c>
      <c r="B6" s="50" t="s">
        <v>71</v>
      </c>
      <c r="C6" s="51" t="s">
        <v>100</v>
      </c>
      <c r="D6" s="51" t="s">
        <v>127</v>
      </c>
      <c r="E6" s="51" t="s">
        <v>103</v>
      </c>
      <c r="F6" s="51" t="s">
        <v>128</v>
      </c>
    </row>
    <row r="7" spans="1:6" ht="64.95" customHeight="1" x14ac:dyDescent="0.25">
      <c r="A7" s="50">
        <v>5</v>
      </c>
      <c r="B7" s="50" t="s">
        <v>71</v>
      </c>
      <c r="C7" s="51" t="s">
        <v>100</v>
      </c>
      <c r="D7" s="51" t="s">
        <v>102</v>
      </c>
      <c r="E7" s="51" t="s">
        <v>103</v>
      </c>
      <c r="F7" s="79" t="s">
        <v>137</v>
      </c>
    </row>
    <row r="8" spans="1:6" ht="64.95" customHeight="1" x14ac:dyDescent="0.25">
      <c r="A8" s="50">
        <v>6</v>
      </c>
      <c r="B8" s="50" t="s">
        <v>71</v>
      </c>
      <c r="C8" s="51" t="s">
        <v>179</v>
      </c>
      <c r="D8" s="51" t="s">
        <v>101</v>
      </c>
      <c r="E8" s="51" t="s">
        <v>123</v>
      </c>
      <c r="F8" s="51" t="s">
        <v>134</v>
      </c>
    </row>
    <row r="9" spans="1:6" ht="64.95" customHeight="1" x14ac:dyDescent="0.25">
      <c r="A9" s="50">
        <v>7</v>
      </c>
      <c r="B9" s="50" t="s">
        <v>71</v>
      </c>
      <c r="C9" s="51" t="s">
        <v>179</v>
      </c>
      <c r="D9" s="51" t="s">
        <v>117</v>
      </c>
      <c r="E9" s="51" t="s">
        <v>123</v>
      </c>
      <c r="F9" s="51" t="s">
        <v>134</v>
      </c>
    </row>
    <row r="10" spans="1:6" ht="64.95" customHeight="1" x14ac:dyDescent="0.25">
      <c r="A10" s="50">
        <v>8</v>
      </c>
      <c r="B10" s="50" t="s">
        <v>71</v>
      </c>
      <c r="C10" s="51" t="s">
        <v>179</v>
      </c>
      <c r="D10" s="51" t="s">
        <v>102</v>
      </c>
      <c r="E10" s="51" t="s">
        <v>123</v>
      </c>
      <c r="F10" s="51" t="s">
        <v>135</v>
      </c>
    </row>
    <row r="11" spans="1:6" ht="64.95" customHeight="1" x14ac:dyDescent="0.25">
      <c r="A11" s="50">
        <v>9</v>
      </c>
      <c r="B11" s="50" t="s">
        <v>106</v>
      </c>
      <c r="C11" s="51" t="s">
        <v>122</v>
      </c>
      <c r="D11" s="51" t="s">
        <v>124</v>
      </c>
      <c r="E11" s="51" t="s">
        <v>107</v>
      </c>
      <c r="F11" s="51" t="s">
        <v>133</v>
      </c>
    </row>
    <row r="12" spans="1:6" ht="64.95" customHeight="1" x14ac:dyDescent="0.25">
      <c r="A12" s="50">
        <v>10</v>
      </c>
      <c r="B12" s="50" t="s">
        <v>106</v>
      </c>
      <c r="C12" s="51" t="s">
        <v>120</v>
      </c>
      <c r="D12" s="51" t="s">
        <v>104</v>
      </c>
      <c r="E12" s="51" t="s">
        <v>105</v>
      </c>
      <c r="F12" s="51" t="s">
        <v>125</v>
      </c>
    </row>
    <row r="13" spans="1:6" ht="64.95" customHeight="1" x14ac:dyDescent="0.25">
      <c r="A13" s="50">
        <v>11</v>
      </c>
      <c r="B13" s="50" t="s">
        <v>106</v>
      </c>
      <c r="C13" s="51" t="s">
        <v>108</v>
      </c>
      <c r="D13" s="51" t="s">
        <v>104</v>
      </c>
      <c r="E13" s="51" t="s">
        <v>109</v>
      </c>
      <c r="F13" s="89" t="s">
        <v>218</v>
      </c>
    </row>
    <row r="14" spans="1:6" ht="64.95" customHeight="1" x14ac:dyDescent="0.25">
      <c r="A14" s="50">
        <v>12</v>
      </c>
      <c r="B14" s="50" t="s">
        <v>106</v>
      </c>
      <c r="C14" s="51" t="s">
        <v>110</v>
      </c>
      <c r="D14" s="51" t="s">
        <v>104</v>
      </c>
      <c r="E14" s="51" t="s">
        <v>111</v>
      </c>
      <c r="F14" s="79" t="s">
        <v>131</v>
      </c>
    </row>
    <row r="15" spans="1:6" ht="64.95" customHeight="1" x14ac:dyDescent="0.25">
      <c r="A15" s="50">
        <v>13</v>
      </c>
      <c r="B15" s="50" t="s">
        <v>106</v>
      </c>
      <c r="C15" s="51" t="s">
        <v>112</v>
      </c>
      <c r="D15" s="51" t="s">
        <v>104</v>
      </c>
      <c r="E15" s="51" t="s">
        <v>111</v>
      </c>
      <c r="F15" s="79" t="s">
        <v>132</v>
      </c>
    </row>
    <row r="16" spans="1:6" ht="64.95" customHeight="1" x14ac:dyDescent="0.25">
      <c r="A16" s="50">
        <v>14</v>
      </c>
      <c r="B16" s="50" t="s">
        <v>106</v>
      </c>
      <c r="C16" s="51" t="s">
        <v>112</v>
      </c>
      <c r="D16" s="51" t="s">
        <v>102</v>
      </c>
      <c r="E16" s="51" t="s">
        <v>111</v>
      </c>
      <c r="F16" s="79" t="s">
        <v>130</v>
      </c>
    </row>
  </sheetData>
  <mergeCells count="1">
    <mergeCell ref="A1:F1"/>
  </mergeCells>
  <phoneticPr fontId="2" type="noConversion"/>
  <pageMargins left="0.7" right="0.7" top="0.75" bottom="0.75" header="0.3" footer="0.3"/>
  <pageSetup paperSize="9" scale="5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DAA0-7545-44EA-B648-12CD6B93A43B}">
  <sheetPr>
    <tabColor rgb="FF00B050"/>
    <pageSetUpPr fitToPage="1"/>
  </sheetPr>
  <dimension ref="A1:Z20"/>
  <sheetViews>
    <sheetView view="pageBreakPreview" zoomScale="70" zoomScaleNormal="70" zoomScaleSheetLayoutView="70" workbookViewId="0">
      <pane xSplit="2" ySplit="1" topLeftCell="C2" activePane="bottomRight" state="frozen"/>
      <selection activeCell="C34" sqref="C34"/>
      <selection pane="topRight" activeCell="C34" sqref="C34"/>
      <selection pane="bottomLeft" activeCell="C34" sqref="C34"/>
      <selection pane="bottomRight" activeCell="T28" sqref="T28"/>
    </sheetView>
  </sheetViews>
  <sheetFormatPr defaultColWidth="8.69921875" defaultRowHeight="18" x14ac:dyDescent="0.25"/>
  <cols>
    <col min="1" max="1" width="20.59765625" style="86" bestFit="1" customWidth="1"/>
    <col min="2" max="2" width="40.3984375" style="86" customWidth="1"/>
    <col min="3" max="3" width="40" style="86" bestFit="1" customWidth="1"/>
    <col min="4" max="4" width="4.5" style="86" bestFit="1" customWidth="1"/>
    <col min="5" max="5" width="15" style="86" bestFit="1" customWidth="1"/>
    <col min="6" max="6" width="14.69921875" style="86" bestFit="1" customWidth="1"/>
    <col min="7" max="8" width="12.69921875" style="86" bestFit="1" customWidth="1"/>
    <col min="9" max="9" width="9.09765625" style="86" bestFit="1" customWidth="1"/>
    <col min="10" max="10" width="14" style="86" bestFit="1" customWidth="1"/>
    <col min="11" max="11" width="15.8984375" style="86" bestFit="1" customWidth="1"/>
    <col min="12" max="12" width="23.19921875" style="86" bestFit="1" customWidth="1"/>
    <col min="13" max="13" width="18" style="86" bestFit="1" customWidth="1"/>
    <col min="14" max="14" width="25.3984375" style="86" bestFit="1" customWidth="1"/>
    <col min="15" max="15" width="13.09765625" style="86" customWidth="1"/>
    <col min="16" max="16" width="15" style="86" bestFit="1" customWidth="1"/>
    <col min="17" max="17" width="17.59765625" style="86" bestFit="1" customWidth="1"/>
    <col min="18" max="18" width="24.69921875" style="86" bestFit="1" customWidth="1"/>
    <col min="19" max="19" width="15.5" style="86" bestFit="1" customWidth="1"/>
    <col min="20" max="20" width="12.69921875" style="86" bestFit="1" customWidth="1"/>
    <col min="21" max="21" width="26.59765625" style="86" bestFit="1" customWidth="1"/>
    <col min="22" max="22" width="15.09765625" style="86" bestFit="1" customWidth="1"/>
    <col min="23" max="23" width="16.19921875" style="86" bestFit="1" customWidth="1"/>
    <col min="24" max="27" width="11.69921875" style="86" customWidth="1"/>
    <col min="28" max="28" width="20.5" style="86" customWidth="1"/>
    <col min="29" max="16384" width="8.69921875" style="86"/>
  </cols>
  <sheetData>
    <row r="1" spans="1:26" x14ac:dyDescent="0.25">
      <c r="A1" s="150" t="s">
        <v>220</v>
      </c>
      <c r="B1" s="150" t="s">
        <v>221</v>
      </c>
      <c r="C1" s="150" t="s">
        <v>222</v>
      </c>
      <c r="D1" s="151" t="s">
        <v>223</v>
      </c>
      <c r="E1" s="151" t="s">
        <v>224</v>
      </c>
      <c r="F1" s="151" t="s">
        <v>225</v>
      </c>
      <c r="G1" s="151" t="s">
        <v>226</v>
      </c>
      <c r="H1" s="151" t="s">
        <v>227</v>
      </c>
      <c r="I1" s="151" t="s">
        <v>228</v>
      </c>
      <c r="J1" s="151" t="s">
        <v>229</v>
      </c>
      <c r="K1" s="151" t="s">
        <v>230</v>
      </c>
      <c r="L1" s="151" t="s">
        <v>231</v>
      </c>
      <c r="M1" s="151" t="s">
        <v>232</v>
      </c>
      <c r="N1" s="151" t="s">
        <v>233</v>
      </c>
      <c r="O1" s="151" t="s">
        <v>234</v>
      </c>
      <c r="P1" s="151" t="s">
        <v>235</v>
      </c>
      <c r="Q1" s="151" t="s">
        <v>236</v>
      </c>
      <c r="R1" s="151" t="s">
        <v>237</v>
      </c>
      <c r="S1" s="151" t="s">
        <v>238</v>
      </c>
      <c r="T1" s="151" t="s">
        <v>239</v>
      </c>
      <c r="U1" s="151" t="s">
        <v>240</v>
      </c>
      <c r="V1" s="151" t="s">
        <v>241</v>
      </c>
      <c r="W1" s="151" t="s">
        <v>242</v>
      </c>
    </row>
    <row r="2" spans="1:26" x14ac:dyDescent="0.25">
      <c r="A2" s="152" t="s">
        <v>89</v>
      </c>
      <c r="B2" s="152" t="s">
        <v>142</v>
      </c>
      <c r="C2" s="152" t="s">
        <v>243</v>
      </c>
      <c r="D2" s="153">
        <v>4</v>
      </c>
      <c r="E2" s="153">
        <v>28208212.719999999</v>
      </c>
      <c r="F2" s="153">
        <v>29358372.719999999</v>
      </c>
      <c r="G2" s="153">
        <v>29093136.18</v>
      </c>
      <c r="H2" s="153">
        <v>265236.53999999998</v>
      </c>
      <c r="I2" s="153">
        <v>0</v>
      </c>
      <c r="J2" s="153">
        <v>0</v>
      </c>
      <c r="K2" s="153">
        <v>0</v>
      </c>
      <c r="L2" s="153">
        <v>0</v>
      </c>
      <c r="M2" s="153">
        <v>0</v>
      </c>
      <c r="N2" s="153">
        <v>0</v>
      </c>
      <c r="O2" s="153">
        <v>0</v>
      </c>
      <c r="P2" s="153">
        <v>0</v>
      </c>
      <c r="Q2" s="153">
        <v>0</v>
      </c>
      <c r="R2" s="153">
        <v>0</v>
      </c>
      <c r="S2" s="153">
        <v>265236.53999999998</v>
      </c>
      <c r="T2" s="153">
        <v>0</v>
      </c>
      <c r="U2" s="153">
        <v>0</v>
      </c>
      <c r="V2" s="153">
        <v>0</v>
      </c>
      <c r="W2" s="153">
        <v>0</v>
      </c>
      <c r="X2"/>
      <c r="Y2"/>
      <c r="Z2"/>
    </row>
    <row r="3" spans="1:26" x14ac:dyDescent="0.25">
      <c r="A3" s="152" t="s">
        <v>161</v>
      </c>
      <c r="B3" s="152" t="s">
        <v>143</v>
      </c>
      <c r="C3" s="152" t="s">
        <v>325</v>
      </c>
      <c r="D3" s="153">
        <v>5</v>
      </c>
      <c r="E3" s="153">
        <v>515100</v>
      </c>
      <c r="F3" s="153">
        <v>514300</v>
      </c>
      <c r="G3" s="153">
        <v>0</v>
      </c>
      <c r="H3" s="153">
        <v>514300</v>
      </c>
      <c r="I3" s="153">
        <v>0</v>
      </c>
      <c r="J3" s="153">
        <v>0</v>
      </c>
      <c r="K3" s="153">
        <v>0</v>
      </c>
      <c r="L3" s="153">
        <v>0</v>
      </c>
      <c r="M3" s="153">
        <v>0</v>
      </c>
      <c r="N3" s="153">
        <v>0</v>
      </c>
      <c r="O3" s="153">
        <v>55140.19</v>
      </c>
      <c r="P3" s="153">
        <v>0</v>
      </c>
      <c r="Q3" s="153">
        <v>0</v>
      </c>
      <c r="R3" s="153">
        <v>55140.19</v>
      </c>
      <c r="S3" s="153">
        <v>459159.81</v>
      </c>
      <c r="T3" s="153">
        <v>0</v>
      </c>
      <c r="U3" s="153">
        <v>0</v>
      </c>
      <c r="V3" s="153">
        <v>515100</v>
      </c>
      <c r="W3" s="153">
        <v>515100</v>
      </c>
      <c r="X3"/>
      <c r="Y3"/>
      <c r="Z3"/>
    </row>
    <row r="4" spans="1:26" x14ac:dyDescent="0.25">
      <c r="A4" s="152" t="s">
        <v>162</v>
      </c>
      <c r="B4" s="152" t="s">
        <v>144</v>
      </c>
      <c r="C4" s="152" t="s">
        <v>325</v>
      </c>
      <c r="D4" s="153">
        <v>5</v>
      </c>
      <c r="E4" s="153">
        <v>163000</v>
      </c>
      <c r="F4" s="153">
        <v>156700</v>
      </c>
      <c r="G4" s="153">
        <v>0</v>
      </c>
      <c r="H4" s="153">
        <v>156700</v>
      </c>
      <c r="I4" s="153">
        <v>0</v>
      </c>
      <c r="J4" s="153">
        <v>0</v>
      </c>
      <c r="K4" s="153">
        <v>0</v>
      </c>
      <c r="L4" s="153">
        <v>0</v>
      </c>
      <c r="M4" s="153">
        <v>0</v>
      </c>
      <c r="N4" s="153">
        <v>0</v>
      </c>
      <c r="O4" s="153">
        <v>43925.23</v>
      </c>
      <c r="P4" s="153">
        <v>0</v>
      </c>
      <c r="Q4" s="153">
        <v>0</v>
      </c>
      <c r="R4" s="153">
        <v>43925.23</v>
      </c>
      <c r="S4" s="153">
        <v>112774.77</v>
      </c>
      <c r="T4" s="153">
        <v>0</v>
      </c>
      <c r="U4" s="153">
        <v>0</v>
      </c>
      <c r="V4" s="153">
        <v>163000</v>
      </c>
      <c r="W4" s="153">
        <v>163000</v>
      </c>
      <c r="X4"/>
      <c r="Y4"/>
      <c r="Z4"/>
    </row>
    <row r="5" spans="1:26" x14ac:dyDescent="0.25">
      <c r="A5" s="152" t="s">
        <v>163</v>
      </c>
      <c r="B5" s="152" t="s">
        <v>145</v>
      </c>
      <c r="C5" s="152" t="s">
        <v>245</v>
      </c>
      <c r="D5" s="153">
        <v>5</v>
      </c>
      <c r="E5" s="153">
        <v>978800</v>
      </c>
      <c r="F5" s="153">
        <v>951600</v>
      </c>
      <c r="G5" s="153">
        <v>0</v>
      </c>
      <c r="H5" s="153">
        <v>951600</v>
      </c>
      <c r="I5" s="153">
        <v>0</v>
      </c>
      <c r="J5" s="153">
        <v>0</v>
      </c>
      <c r="K5" s="153">
        <v>0</v>
      </c>
      <c r="L5" s="153">
        <v>0</v>
      </c>
      <c r="M5" s="153">
        <v>0</v>
      </c>
      <c r="N5" s="153">
        <v>0</v>
      </c>
      <c r="O5" s="153">
        <v>874100</v>
      </c>
      <c r="P5" s="153">
        <v>0</v>
      </c>
      <c r="Q5" s="153">
        <v>0</v>
      </c>
      <c r="R5" s="153">
        <v>874100</v>
      </c>
      <c r="S5" s="153">
        <v>77500</v>
      </c>
      <c r="T5" s="153">
        <v>0</v>
      </c>
      <c r="U5" s="153">
        <v>0</v>
      </c>
      <c r="V5" s="153">
        <v>903800</v>
      </c>
      <c r="W5" s="153">
        <v>903800</v>
      </c>
      <c r="X5"/>
      <c r="Y5"/>
      <c r="Z5"/>
    </row>
    <row r="6" spans="1:26" x14ac:dyDescent="0.25">
      <c r="A6" s="152" t="s">
        <v>164</v>
      </c>
      <c r="B6" s="152" t="s">
        <v>146</v>
      </c>
      <c r="C6" s="152" t="s">
        <v>244</v>
      </c>
      <c r="D6" s="153">
        <v>5</v>
      </c>
      <c r="E6" s="153">
        <v>153600</v>
      </c>
      <c r="F6" s="153">
        <v>153000</v>
      </c>
      <c r="G6" s="153">
        <v>0</v>
      </c>
      <c r="H6" s="153">
        <v>153000</v>
      </c>
      <c r="I6" s="153">
        <v>0</v>
      </c>
      <c r="J6" s="153">
        <v>0</v>
      </c>
      <c r="K6" s="153">
        <v>0</v>
      </c>
      <c r="L6" s="153">
        <v>0</v>
      </c>
      <c r="M6" s="153">
        <v>0</v>
      </c>
      <c r="N6" s="153">
        <v>0</v>
      </c>
      <c r="O6" s="153">
        <v>153000</v>
      </c>
      <c r="P6" s="153">
        <v>0</v>
      </c>
      <c r="Q6" s="153">
        <v>0</v>
      </c>
      <c r="R6" s="153">
        <v>153000</v>
      </c>
      <c r="S6" s="153">
        <v>0</v>
      </c>
      <c r="T6" s="153">
        <v>0</v>
      </c>
      <c r="U6" s="153">
        <v>0</v>
      </c>
      <c r="V6" s="153">
        <v>153600</v>
      </c>
      <c r="W6" s="153">
        <v>153600</v>
      </c>
      <c r="X6"/>
      <c r="Y6"/>
      <c r="Z6"/>
    </row>
    <row r="7" spans="1:26" x14ac:dyDescent="0.25">
      <c r="A7" s="152" t="s">
        <v>165</v>
      </c>
      <c r="B7" s="152" t="s">
        <v>147</v>
      </c>
      <c r="C7" s="152" t="s">
        <v>244</v>
      </c>
      <c r="D7" s="153">
        <v>5</v>
      </c>
      <c r="E7" s="153">
        <v>200000</v>
      </c>
      <c r="F7" s="153">
        <v>200000</v>
      </c>
      <c r="G7" s="153">
        <v>0</v>
      </c>
      <c r="H7" s="153">
        <v>200000</v>
      </c>
      <c r="I7" s="153">
        <v>0</v>
      </c>
      <c r="J7" s="153">
        <v>0</v>
      </c>
      <c r="K7" s="153">
        <v>0</v>
      </c>
      <c r="L7" s="153">
        <v>0</v>
      </c>
      <c r="M7" s="153">
        <v>0</v>
      </c>
      <c r="N7" s="153">
        <v>0</v>
      </c>
      <c r="O7" s="153">
        <v>180000</v>
      </c>
      <c r="P7" s="153">
        <v>0</v>
      </c>
      <c r="Q7" s="153">
        <v>0</v>
      </c>
      <c r="R7" s="153">
        <v>180000</v>
      </c>
      <c r="S7" s="153">
        <v>20000</v>
      </c>
      <c r="T7" s="153">
        <v>0</v>
      </c>
      <c r="U7" s="153">
        <v>0</v>
      </c>
      <c r="V7" s="153">
        <v>200000</v>
      </c>
      <c r="W7" s="153">
        <v>200000</v>
      </c>
      <c r="X7"/>
      <c r="Y7"/>
      <c r="Z7"/>
    </row>
    <row r="8" spans="1:26" x14ac:dyDescent="0.25">
      <c r="A8" s="152" t="s">
        <v>166</v>
      </c>
      <c r="B8" s="152" t="s">
        <v>148</v>
      </c>
      <c r="C8" s="152" t="s">
        <v>246</v>
      </c>
      <c r="D8" s="153">
        <v>5</v>
      </c>
      <c r="E8" s="153">
        <v>6080709.7199999997</v>
      </c>
      <c r="F8" s="153">
        <v>6080709.7199999997</v>
      </c>
      <c r="G8" s="153">
        <v>0</v>
      </c>
      <c r="H8" s="153">
        <v>6080709.7199999997</v>
      </c>
      <c r="I8" s="153">
        <v>0</v>
      </c>
      <c r="J8" s="153">
        <v>0</v>
      </c>
      <c r="K8" s="153">
        <v>0</v>
      </c>
      <c r="L8" s="153">
        <v>0</v>
      </c>
      <c r="M8" s="153">
        <v>1079985.0900000001</v>
      </c>
      <c r="N8" s="153">
        <v>32500</v>
      </c>
      <c r="O8" s="153">
        <v>0</v>
      </c>
      <c r="P8" s="153">
        <v>0</v>
      </c>
      <c r="Q8" s="153">
        <v>2607880.6800000002</v>
      </c>
      <c r="R8" s="153">
        <v>2640380.6800000002</v>
      </c>
      <c r="S8" s="153">
        <v>3440329.04</v>
      </c>
      <c r="T8" s="153">
        <v>7339301.2000000002</v>
      </c>
      <c r="U8" s="153">
        <v>672144.72</v>
      </c>
      <c r="V8" s="153">
        <v>5188019</v>
      </c>
      <c r="W8" s="153">
        <v>5188019</v>
      </c>
      <c r="X8"/>
      <c r="Y8"/>
      <c r="Z8"/>
    </row>
    <row r="9" spans="1:26" x14ac:dyDescent="0.25">
      <c r="A9" s="152" t="s">
        <v>167</v>
      </c>
      <c r="B9" s="152" t="s">
        <v>149</v>
      </c>
      <c r="C9" s="152" t="s">
        <v>247</v>
      </c>
      <c r="D9" s="153">
        <v>5</v>
      </c>
      <c r="E9" s="153">
        <v>19000</v>
      </c>
      <c r="F9" s="153">
        <v>19000</v>
      </c>
      <c r="G9" s="153">
        <v>0</v>
      </c>
      <c r="H9" s="153">
        <v>19000</v>
      </c>
      <c r="I9" s="153">
        <v>0</v>
      </c>
      <c r="J9" s="153">
        <v>0</v>
      </c>
      <c r="K9" s="153">
        <v>0</v>
      </c>
      <c r="L9" s="153">
        <v>0</v>
      </c>
      <c r="M9" s="153">
        <v>0</v>
      </c>
      <c r="N9" s="153">
        <v>0</v>
      </c>
      <c r="O9" s="153">
        <v>19000</v>
      </c>
      <c r="P9" s="153">
        <v>0</v>
      </c>
      <c r="Q9" s="153">
        <v>0</v>
      </c>
      <c r="R9" s="153">
        <v>19000</v>
      </c>
      <c r="S9" s="153">
        <v>0</v>
      </c>
      <c r="T9" s="153">
        <v>0</v>
      </c>
      <c r="U9" s="153">
        <v>0</v>
      </c>
      <c r="V9" s="153">
        <v>19000</v>
      </c>
      <c r="W9" s="153">
        <v>19000</v>
      </c>
      <c r="X9"/>
      <c r="Y9"/>
      <c r="Z9"/>
    </row>
    <row r="10" spans="1:26" x14ac:dyDescent="0.25">
      <c r="A10" s="152" t="s">
        <v>168</v>
      </c>
      <c r="B10" s="152" t="s">
        <v>150</v>
      </c>
      <c r="C10" s="152" t="s">
        <v>245</v>
      </c>
      <c r="D10" s="153">
        <v>5</v>
      </c>
      <c r="E10" s="153">
        <v>3248200</v>
      </c>
      <c r="F10" s="153">
        <v>3248200</v>
      </c>
      <c r="G10" s="153">
        <v>0</v>
      </c>
      <c r="H10" s="153">
        <v>3248200</v>
      </c>
      <c r="I10" s="153">
        <v>61080</v>
      </c>
      <c r="J10" s="153">
        <v>0</v>
      </c>
      <c r="K10" s="153">
        <v>0</v>
      </c>
      <c r="L10" s="153">
        <v>0</v>
      </c>
      <c r="M10" s="153">
        <v>0</v>
      </c>
      <c r="N10" s="153">
        <v>0</v>
      </c>
      <c r="O10" s="153">
        <v>3187120</v>
      </c>
      <c r="P10" s="153">
        <v>0</v>
      </c>
      <c r="Q10" s="153">
        <v>0</v>
      </c>
      <c r="R10" s="153">
        <v>3187120</v>
      </c>
      <c r="S10" s="153">
        <v>61080</v>
      </c>
      <c r="T10" s="153">
        <v>0</v>
      </c>
      <c r="U10" s="153">
        <v>0</v>
      </c>
      <c r="V10" s="153">
        <v>3252155.82</v>
      </c>
      <c r="W10" s="153">
        <v>3252155.82</v>
      </c>
      <c r="X10"/>
      <c r="Y10"/>
      <c r="Z10"/>
    </row>
    <row r="11" spans="1:26" x14ac:dyDescent="0.25">
      <c r="A11" s="152" t="s">
        <v>169</v>
      </c>
      <c r="B11" s="152" t="s">
        <v>151</v>
      </c>
      <c r="C11" s="152" t="s">
        <v>248</v>
      </c>
      <c r="D11" s="153">
        <v>5</v>
      </c>
      <c r="E11" s="153">
        <v>17104586.850000001</v>
      </c>
      <c r="F11" s="153">
        <v>17104586.850000001</v>
      </c>
      <c r="G11" s="153">
        <v>0</v>
      </c>
      <c r="H11" s="153">
        <v>17104586.850000001</v>
      </c>
      <c r="I11" s="153">
        <v>0</v>
      </c>
      <c r="J11" s="153">
        <v>0</v>
      </c>
      <c r="K11" s="153">
        <v>0</v>
      </c>
      <c r="L11" s="153">
        <v>0</v>
      </c>
      <c r="M11" s="153">
        <v>-9413.6</v>
      </c>
      <c r="N11" s="153">
        <v>385475</v>
      </c>
      <c r="O11" s="153">
        <v>0</v>
      </c>
      <c r="P11" s="153">
        <v>0</v>
      </c>
      <c r="Q11" s="153">
        <v>5558741.6100000003</v>
      </c>
      <c r="R11" s="153">
        <v>5944216.6100000003</v>
      </c>
      <c r="S11" s="153">
        <v>11160370.24</v>
      </c>
      <c r="T11" s="153">
        <v>25565045.620000001</v>
      </c>
      <c r="U11" s="153">
        <v>2896775</v>
      </c>
      <c r="V11" s="153">
        <v>10201521</v>
      </c>
      <c r="W11" s="153">
        <v>10201521</v>
      </c>
      <c r="X11"/>
      <c r="Y11"/>
      <c r="Z11"/>
    </row>
    <row r="12" spans="1:26" x14ac:dyDescent="0.25">
      <c r="A12" s="152" t="s">
        <v>170</v>
      </c>
      <c r="B12" s="152" t="s">
        <v>152</v>
      </c>
      <c r="C12" s="152" t="s">
        <v>249</v>
      </c>
      <c r="D12" s="153">
        <v>5</v>
      </c>
      <c r="E12" s="153">
        <v>43363.28</v>
      </c>
      <c r="F12" s="153">
        <v>24718.71</v>
      </c>
      <c r="G12" s="153">
        <v>0</v>
      </c>
      <c r="H12" s="153">
        <v>24718.71</v>
      </c>
      <c r="I12" s="153">
        <v>0</v>
      </c>
      <c r="J12" s="153">
        <v>0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0</v>
      </c>
      <c r="Q12" s="153">
        <v>24456.13</v>
      </c>
      <c r="R12" s="153">
        <v>24456.13</v>
      </c>
      <c r="S12" s="153">
        <v>262.58</v>
      </c>
      <c r="T12" s="153">
        <v>322265.45</v>
      </c>
      <c r="U12" s="153">
        <v>28.08</v>
      </c>
      <c r="V12" s="153">
        <v>41967</v>
      </c>
      <c r="W12" s="153">
        <v>25180.2</v>
      </c>
      <c r="X12"/>
      <c r="Y12"/>
      <c r="Z12"/>
    </row>
    <row r="13" spans="1:26" x14ac:dyDescent="0.25">
      <c r="A13" s="152" t="s">
        <v>171</v>
      </c>
      <c r="B13" s="152" t="s">
        <v>153</v>
      </c>
      <c r="C13" s="152" t="s">
        <v>249</v>
      </c>
      <c r="D13" s="153">
        <v>5</v>
      </c>
      <c r="E13" s="153">
        <v>43363.28</v>
      </c>
      <c r="F13" s="153">
        <v>24836.23</v>
      </c>
      <c r="G13" s="153">
        <v>0</v>
      </c>
      <c r="H13" s="153">
        <v>24836.23</v>
      </c>
      <c r="I13" s="153">
        <v>0</v>
      </c>
      <c r="J13" s="153">
        <v>0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3">
        <v>0</v>
      </c>
      <c r="Q13" s="153">
        <v>24573.65</v>
      </c>
      <c r="R13" s="153">
        <v>24573.65</v>
      </c>
      <c r="S13" s="153">
        <v>262.58</v>
      </c>
      <c r="T13" s="153">
        <v>322265.45</v>
      </c>
      <c r="U13" s="153">
        <v>28.08</v>
      </c>
      <c r="V13" s="153">
        <v>41967</v>
      </c>
      <c r="W13" s="153">
        <v>25180.2</v>
      </c>
      <c r="X13"/>
      <c r="Y13"/>
      <c r="Z13"/>
    </row>
    <row r="14" spans="1:26" x14ac:dyDescent="0.25">
      <c r="A14" s="152" t="s">
        <v>172</v>
      </c>
      <c r="B14" s="152" t="s">
        <v>154</v>
      </c>
      <c r="C14" s="152" t="s">
        <v>249</v>
      </c>
      <c r="D14" s="153">
        <v>5</v>
      </c>
      <c r="E14" s="153">
        <v>43363.28</v>
      </c>
      <c r="F14" s="153">
        <v>25051.3</v>
      </c>
      <c r="G14" s="153">
        <v>0</v>
      </c>
      <c r="H14" s="153">
        <v>25051.3</v>
      </c>
      <c r="I14" s="153">
        <v>0</v>
      </c>
      <c r="J14" s="153">
        <v>0</v>
      </c>
      <c r="K14" s="153">
        <v>0</v>
      </c>
      <c r="L14" s="153">
        <v>0</v>
      </c>
      <c r="M14" s="153">
        <v>0</v>
      </c>
      <c r="N14" s="153">
        <v>0</v>
      </c>
      <c r="O14" s="153">
        <v>0</v>
      </c>
      <c r="P14" s="153">
        <v>0</v>
      </c>
      <c r="Q14" s="153">
        <v>24788.720000000001</v>
      </c>
      <c r="R14" s="153">
        <v>24788.720000000001</v>
      </c>
      <c r="S14" s="153">
        <v>262.58</v>
      </c>
      <c r="T14" s="153">
        <v>322265.45</v>
      </c>
      <c r="U14" s="153">
        <v>28.08</v>
      </c>
      <c r="V14" s="153">
        <v>41967</v>
      </c>
      <c r="W14" s="153">
        <v>25180.2</v>
      </c>
      <c r="X14"/>
      <c r="Y14"/>
      <c r="Z14"/>
    </row>
    <row r="15" spans="1:26" x14ac:dyDescent="0.25">
      <c r="A15" s="152" t="s">
        <v>173</v>
      </c>
      <c r="B15" s="152" t="s">
        <v>155</v>
      </c>
      <c r="C15" s="152" t="s">
        <v>249</v>
      </c>
      <c r="D15" s="153">
        <v>5</v>
      </c>
      <c r="E15" s="153">
        <v>44443.48</v>
      </c>
      <c r="F15" s="153">
        <v>13195.11</v>
      </c>
      <c r="G15" s="153">
        <v>0</v>
      </c>
      <c r="H15" s="153">
        <v>13195.11</v>
      </c>
      <c r="I15" s="153">
        <v>0</v>
      </c>
      <c r="J15" s="153">
        <v>0</v>
      </c>
      <c r="K15" s="153">
        <v>0</v>
      </c>
      <c r="L15" s="153">
        <v>0</v>
      </c>
      <c r="M15" s="153">
        <v>0</v>
      </c>
      <c r="N15" s="153">
        <v>0</v>
      </c>
      <c r="O15" s="153">
        <v>0</v>
      </c>
      <c r="P15" s="153">
        <v>0</v>
      </c>
      <c r="Q15" s="153">
        <v>0</v>
      </c>
      <c r="R15" s="153">
        <v>0</v>
      </c>
      <c r="S15" s="153">
        <v>13195.11</v>
      </c>
      <c r="T15" s="153">
        <v>322265.45</v>
      </c>
      <c r="U15" s="153">
        <v>28.08</v>
      </c>
      <c r="V15" s="153">
        <v>43629</v>
      </c>
      <c r="W15" s="153">
        <v>26177.4</v>
      </c>
      <c r="X15"/>
      <c r="Y15"/>
      <c r="Z15"/>
    </row>
    <row r="16" spans="1:26" x14ac:dyDescent="0.25">
      <c r="A16" s="152" t="s">
        <v>174</v>
      </c>
      <c r="B16" s="152" t="s">
        <v>156</v>
      </c>
      <c r="C16" s="152" t="s">
        <v>249</v>
      </c>
      <c r="D16" s="153">
        <v>5</v>
      </c>
      <c r="E16" s="153">
        <v>44443.48</v>
      </c>
      <c r="F16" s="153">
        <v>25065.94</v>
      </c>
      <c r="G16" s="153">
        <v>0</v>
      </c>
      <c r="H16" s="153">
        <v>25065.94</v>
      </c>
      <c r="I16" s="153">
        <v>0</v>
      </c>
      <c r="J16" s="153">
        <v>0</v>
      </c>
      <c r="K16" s="153">
        <v>0</v>
      </c>
      <c r="L16" s="153">
        <v>0</v>
      </c>
      <c r="M16" s="153">
        <v>0</v>
      </c>
      <c r="N16" s="153">
        <v>0</v>
      </c>
      <c r="O16" s="153">
        <v>0</v>
      </c>
      <c r="P16" s="153">
        <v>0</v>
      </c>
      <c r="Q16" s="153">
        <v>0</v>
      </c>
      <c r="R16" s="153">
        <v>0</v>
      </c>
      <c r="S16" s="153">
        <v>25065.94</v>
      </c>
      <c r="T16" s="153">
        <v>322265.45</v>
      </c>
      <c r="U16" s="153">
        <v>28.08</v>
      </c>
      <c r="V16" s="153">
        <v>43629</v>
      </c>
      <c r="W16" s="153">
        <v>26177.4</v>
      </c>
      <c r="X16"/>
      <c r="Y16"/>
      <c r="Z16"/>
    </row>
    <row r="17" spans="1:26" x14ac:dyDescent="0.25">
      <c r="A17" s="152" t="s">
        <v>175</v>
      </c>
      <c r="B17" s="152" t="s">
        <v>157</v>
      </c>
      <c r="C17" s="152" t="s">
        <v>249</v>
      </c>
      <c r="D17" s="153">
        <v>5</v>
      </c>
      <c r="E17" s="153">
        <v>43363.28</v>
      </c>
      <c r="F17" s="153">
        <v>25263.39</v>
      </c>
      <c r="G17" s="153">
        <v>0</v>
      </c>
      <c r="H17" s="153">
        <v>25263.39</v>
      </c>
      <c r="I17" s="153">
        <v>0</v>
      </c>
      <c r="J17" s="153">
        <v>0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0</v>
      </c>
      <c r="Q17" s="153">
        <v>0</v>
      </c>
      <c r="R17" s="153">
        <v>0</v>
      </c>
      <c r="S17" s="153">
        <v>25263.39</v>
      </c>
      <c r="T17" s="153">
        <v>322265.45</v>
      </c>
      <c r="U17" s="153">
        <v>28.08</v>
      </c>
      <c r="V17" s="153">
        <v>41967</v>
      </c>
      <c r="W17" s="153">
        <v>25180.2</v>
      </c>
      <c r="X17"/>
      <c r="Y17"/>
      <c r="Z17"/>
    </row>
    <row r="18" spans="1:26" x14ac:dyDescent="0.25">
      <c r="A18" s="152" t="s">
        <v>176</v>
      </c>
      <c r="B18" s="152" t="s">
        <v>158</v>
      </c>
      <c r="C18" s="152" t="s">
        <v>249</v>
      </c>
      <c r="D18" s="153">
        <v>5</v>
      </c>
      <c r="E18" s="153">
        <v>47357.599999999999</v>
      </c>
      <c r="F18" s="153">
        <v>26518.66</v>
      </c>
      <c r="G18" s="153">
        <v>0</v>
      </c>
      <c r="H18" s="153">
        <v>26518.66</v>
      </c>
      <c r="I18" s="153">
        <v>0</v>
      </c>
      <c r="J18" s="153">
        <v>0</v>
      </c>
      <c r="K18" s="153">
        <v>0</v>
      </c>
      <c r="L18" s="153">
        <v>0</v>
      </c>
      <c r="M18" s="153">
        <v>0</v>
      </c>
      <c r="N18" s="153">
        <v>0</v>
      </c>
      <c r="O18" s="153">
        <v>0</v>
      </c>
      <c r="P18" s="153">
        <v>0</v>
      </c>
      <c r="Q18" s="153">
        <v>0</v>
      </c>
      <c r="R18" s="153">
        <v>0</v>
      </c>
      <c r="S18" s="153">
        <v>26518.66</v>
      </c>
      <c r="T18" s="153">
        <v>345697.39</v>
      </c>
      <c r="U18" s="153">
        <v>46.8</v>
      </c>
      <c r="V18" s="153">
        <v>47713</v>
      </c>
      <c r="W18" s="153">
        <v>28627.8</v>
      </c>
      <c r="X18"/>
      <c r="Y18"/>
      <c r="Z18"/>
    </row>
    <row r="19" spans="1:26" x14ac:dyDescent="0.25">
      <c r="A19" s="152" t="s">
        <v>177</v>
      </c>
      <c r="B19" s="152" t="s">
        <v>159</v>
      </c>
      <c r="C19" s="152" t="s">
        <v>249</v>
      </c>
      <c r="D19" s="153">
        <v>5</v>
      </c>
      <c r="E19" s="153">
        <v>516804.47</v>
      </c>
      <c r="F19" s="153">
        <v>461549</v>
      </c>
      <c r="G19" s="153">
        <v>0</v>
      </c>
      <c r="H19" s="153">
        <v>461549</v>
      </c>
      <c r="I19" s="153">
        <v>0</v>
      </c>
      <c r="J19" s="153">
        <v>0</v>
      </c>
      <c r="K19" s="153">
        <v>0</v>
      </c>
      <c r="L19" s="153">
        <v>0</v>
      </c>
      <c r="M19" s="153">
        <v>0</v>
      </c>
      <c r="N19" s="153">
        <v>0</v>
      </c>
      <c r="O19" s="153">
        <v>461549</v>
      </c>
      <c r="P19" s="153">
        <v>0</v>
      </c>
      <c r="Q19" s="153">
        <v>0</v>
      </c>
      <c r="R19" s="153">
        <v>461549</v>
      </c>
      <c r="S19" s="153">
        <v>0</v>
      </c>
      <c r="T19" s="153">
        <v>0</v>
      </c>
      <c r="U19" s="153">
        <v>0</v>
      </c>
      <c r="V19" s="153">
        <v>506671.05</v>
      </c>
      <c r="W19" s="153">
        <v>506671.05</v>
      </c>
      <c r="X19"/>
      <c r="Y19"/>
      <c r="Z19"/>
    </row>
    <row r="20" spans="1:26" x14ac:dyDescent="0.25">
      <c r="A20" s="152" t="s">
        <v>178</v>
      </c>
      <c r="B20" s="152" t="s">
        <v>160</v>
      </c>
      <c r="C20" s="152" t="s">
        <v>249</v>
      </c>
      <c r="D20" s="153">
        <v>5</v>
      </c>
      <c r="E20" s="153">
        <v>68874</v>
      </c>
      <c r="F20" s="153">
        <v>38841.269999999997</v>
      </c>
      <c r="G20" s="153">
        <v>0</v>
      </c>
      <c r="H20" s="153">
        <v>38841.269999999997</v>
      </c>
      <c r="I20" s="153">
        <v>0</v>
      </c>
      <c r="J20" s="153">
        <v>0</v>
      </c>
      <c r="K20" s="153">
        <v>0</v>
      </c>
      <c r="L20" s="153">
        <v>0</v>
      </c>
      <c r="M20" s="153">
        <v>63952.13</v>
      </c>
      <c r="N20" s="153">
        <v>0</v>
      </c>
      <c r="O20" s="153">
        <v>0</v>
      </c>
      <c r="P20" s="153">
        <v>0</v>
      </c>
      <c r="Q20" s="153">
        <v>38839.440000000002</v>
      </c>
      <c r="R20" s="153">
        <v>38839.440000000002</v>
      </c>
      <c r="S20" s="153">
        <v>1.83</v>
      </c>
      <c r="T20" s="153">
        <v>108872.42</v>
      </c>
      <c r="U20" s="153">
        <v>0</v>
      </c>
      <c r="V20" s="153">
        <v>60620</v>
      </c>
      <c r="W20" s="153">
        <v>60620</v>
      </c>
      <c r="X20"/>
      <c r="Y20"/>
      <c r="Z20"/>
    </row>
  </sheetData>
  <phoneticPr fontId="2" type="noConversion"/>
  <pageMargins left="0.7" right="0.7" top="0.75" bottom="0.75" header="0.3" footer="0.3"/>
  <pageSetup paperSize="9" scale="1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DC15-B32A-4C22-9FC2-DE89BF0A4A83}">
  <sheetPr>
    <tabColor rgb="FF00B050"/>
    <pageSetUpPr fitToPage="1"/>
  </sheetPr>
  <dimension ref="A1:X14"/>
  <sheetViews>
    <sheetView view="pageBreakPreview" zoomScale="70" zoomScaleNormal="70" zoomScaleSheetLayoutView="70" workbookViewId="0">
      <pane xSplit="2" ySplit="1" topLeftCell="C2" activePane="bottomRight" state="frozen"/>
      <selection activeCell="R29" sqref="R29"/>
      <selection pane="topRight" activeCell="R29" sqref="R29"/>
      <selection pane="bottomLeft" activeCell="R29" sqref="R29"/>
      <selection pane="bottomRight" activeCell="O34" sqref="O34"/>
    </sheetView>
  </sheetViews>
  <sheetFormatPr defaultColWidth="8.69921875" defaultRowHeight="18" x14ac:dyDescent="0.25"/>
  <cols>
    <col min="1" max="1" width="21" style="86" bestFit="1" customWidth="1"/>
    <col min="2" max="2" width="40.3984375" style="86" customWidth="1"/>
    <col min="3" max="3" width="31.5" style="86" bestFit="1" customWidth="1"/>
    <col min="4" max="4" width="9" style="86" bestFit="1" customWidth="1"/>
    <col min="5" max="5" width="16" style="86" bestFit="1" customWidth="1"/>
    <col min="6" max="6" width="14.09765625" style="86" bestFit="1" customWidth="1"/>
    <col min="7" max="7" width="12.69921875" style="86" bestFit="1" customWidth="1"/>
    <col min="8" max="8" width="11.69921875" style="86" bestFit="1" customWidth="1"/>
    <col min="9" max="9" width="10.09765625" style="86" bestFit="1" customWidth="1"/>
    <col min="10" max="10" width="14" style="86" bestFit="1" customWidth="1"/>
    <col min="11" max="11" width="15.8984375" style="86" bestFit="1" customWidth="1"/>
    <col min="12" max="12" width="23.19921875" style="86" bestFit="1" customWidth="1"/>
    <col min="13" max="13" width="18" style="86" bestFit="1" customWidth="1"/>
    <col min="14" max="14" width="25.3984375" style="86" bestFit="1" customWidth="1"/>
    <col min="15" max="15" width="13.09765625" style="86" bestFit="1" customWidth="1"/>
    <col min="16" max="16" width="15" style="86" bestFit="1" customWidth="1"/>
    <col min="17" max="17" width="17.59765625" style="86" bestFit="1" customWidth="1"/>
    <col min="18" max="18" width="24.69921875" style="86" bestFit="1" customWidth="1"/>
    <col min="19" max="19" width="15.5" style="86" bestFit="1" customWidth="1"/>
    <col min="20" max="20" width="11.69921875" style="86" customWidth="1"/>
    <col min="21" max="21" width="26.59765625" style="86" bestFit="1" customWidth="1"/>
    <col min="22" max="22" width="15.09765625" style="86" bestFit="1" customWidth="1"/>
    <col min="23" max="23" width="16.19921875" style="86" bestFit="1" customWidth="1"/>
    <col min="24" max="27" width="11.69921875" style="86" customWidth="1"/>
    <col min="28" max="28" width="20.5" style="86" customWidth="1"/>
    <col min="29" max="16384" width="8.69921875" style="86"/>
  </cols>
  <sheetData>
    <row r="1" spans="1:24" x14ac:dyDescent="0.25">
      <c r="A1" s="150" t="s">
        <v>220</v>
      </c>
      <c r="B1" s="150" t="s">
        <v>221</v>
      </c>
      <c r="C1" s="150" t="s">
        <v>222</v>
      </c>
      <c r="D1" s="151" t="s">
        <v>223</v>
      </c>
      <c r="E1" s="151" t="s">
        <v>224</v>
      </c>
      <c r="F1" s="151" t="s">
        <v>225</v>
      </c>
      <c r="G1" s="151" t="s">
        <v>226</v>
      </c>
      <c r="H1" s="151" t="s">
        <v>227</v>
      </c>
      <c r="I1" s="151" t="s">
        <v>228</v>
      </c>
      <c r="J1" s="151" t="s">
        <v>229</v>
      </c>
      <c r="K1" s="151" t="s">
        <v>230</v>
      </c>
      <c r="L1" s="151" t="s">
        <v>231</v>
      </c>
      <c r="M1" s="151" t="s">
        <v>232</v>
      </c>
      <c r="N1" s="151" t="s">
        <v>233</v>
      </c>
      <c r="O1" s="151" t="s">
        <v>234</v>
      </c>
      <c r="P1" s="151" t="s">
        <v>235</v>
      </c>
      <c r="Q1" s="151" t="s">
        <v>236</v>
      </c>
      <c r="R1" s="151" t="s">
        <v>237</v>
      </c>
      <c r="S1" s="151" t="s">
        <v>238</v>
      </c>
      <c r="T1" s="151" t="s">
        <v>239</v>
      </c>
      <c r="U1" s="151" t="s">
        <v>240</v>
      </c>
      <c r="V1" s="151" t="s">
        <v>241</v>
      </c>
      <c r="W1" s="151" t="s">
        <v>242</v>
      </c>
    </row>
    <row r="2" spans="1:24" x14ac:dyDescent="0.25">
      <c r="A2" s="152" t="s">
        <v>183</v>
      </c>
      <c r="B2" s="152" t="s">
        <v>250</v>
      </c>
      <c r="C2" s="152" t="s">
        <v>243</v>
      </c>
      <c r="D2" s="153">
        <v>4</v>
      </c>
      <c r="E2" s="153">
        <v>10008111.960000001</v>
      </c>
      <c r="F2" s="153">
        <v>10008111.960000001</v>
      </c>
      <c r="G2" s="153">
        <v>10008111.960000001</v>
      </c>
      <c r="H2" s="153">
        <v>0</v>
      </c>
      <c r="I2" s="153">
        <v>0</v>
      </c>
      <c r="J2" s="153">
        <v>0</v>
      </c>
      <c r="K2" s="153">
        <v>0</v>
      </c>
      <c r="L2" s="153">
        <v>0</v>
      </c>
      <c r="M2" s="153">
        <v>0</v>
      </c>
      <c r="N2" s="153">
        <v>0</v>
      </c>
      <c r="O2" s="153">
        <v>0</v>
      </c>
      <c r="P2" s="153">
        <v>0</v>
      </c>
      <c r="Q2" s="153">
        <v>0</v>
      </c>
      <c r="R2" s="153">
        <v>0</v>
      </c>
      <c r="S2" s="153">
        <v>0</v>
      </c>
      <c r="T2" s="153">
        <v>0</v>
      </c>
      <c r="U2" s="153">
        <v>0</v>
      </c>
      <c r="V2" s="153">
        <v>0</v>
      </c>
      <c r="W2" s="153">
        <v>0</v>
      </c>
      <c r="X2"/>
    </row>
    <row r="3" spans="1:24" x14ac:dyDescent="0.25">
      <c r="A3" s="152" t="s">
        <v>251</v>
      </c>
      <c r="B3" s="152" t="s">
        <v>252</v>
      </c>
      <c r="C3" s="152" t="s">
        <v>248</v>
      </c>
      <c r="D3" s="153">
        <v>5</v>
      </c>
      <c r="E3" s="153">
        <v>7131005.8799999999</v>
      </c>
      <c r="F3" s="153">
        <v>7131005.8799999999</v>
      </c>
      <c r="G3" s="153">
        <v>0</v>
      </c>
      <c r="H3" s="153">
        <v>7131005.8799999999</v>
      </c>
      <c r="I3" s="153">
        <v>128400</v>
      </c>
      <c r="J3" s="153">
        <v>0</v>
      </c>
      <c r="K3" s="153">
        <v>0</v>
      </c>
      <c r="L3" s="153">
        <v>0</v>
      </c>
      <c r="M3" s="153">
        <v>154994.68</v>
      </c>
      <c r="N3" s="153">
        <v>323400</v>
      </c>
      <c r="O3" s="153">
        <v>0</v>
      </c>
      <c r="P3" s="153">
        <v>0</v>
      </c>
      <c r="Q3" s="153">
        <v>131733.99</v>
      </c>
      <c r="R3" s="153">
        <v>455133.99</v>
      </c>
      <c r="S3" s="153">
        <v>6675871.8899999997</v>
      </c>
      <c r="T3" s="153">
        <v>3613019.58</v>
      </c>
      <c r="U3" s="153">
        <v>422493.88</v>
      </c>
      <c r="V3" s="153">
        <v>6661380</v>
      </c>
      <c r="W3" s="153">
        <v>6661380</v>
      </c>
      <c r="X3"/>
    </row>
    <row r="4" spans="1:24" x14ac:dyDescent="0.25">
      <c r="A4" s="152" t="s">
        <v>253</v>
      </c>
      <c r="B4" s="152" t="s">
        <v>254</v>
      </c>
      <c r="C4" s="152" t="s">
        <v>255</v>
      </c>
      <c r="D4" s="153">
        <v>5</v>
      </c>
      <c r="E4" s="153">
        <v>1277889.2</v>
      </c>
      <c r="F4" s="153">
        <v>1277889.2</v>
      </c>
      <c r="G4" s="153">
        <v>0</v>
      </c>
      <c r="H4" s="153">
        <v>1277889.2</v>
      </c>
      <c r="I4" s="153">
        <v>0</v>
      </c>
      <c r="J4" s="153">
        <v>0</v>
      </c>
      <c r="K4" s="153">
        <v>0</v>
      </c>
      <c r="L4" s="153">
        <v>0</v>
      </c>
      <c r="M4" s="153">
        <v>0</v>
      </c>
      <c r="N4" s="153">
        <v>0</v>
      </c>
      <c r="O4" s="153">
        <v>0</v>
      </c>
      <c r="P4" s="153">
        <v>0</v>
      </c>
      <c r="Q4" s="153">
        <v>0</v>
      </c>
      <c r="R4" s="153">
        <v>0</v>
      </c>
      <c r="S4" s="153">
        <v>1277889.2</v>
      </c>
      <c r="T4" s="153">
        <v>1088164.8899999999</v>
      </c>
      <c r="U4" s="153">
        <v>134299.20000000001</v>
      </c>
      <c r="V4" s="153">
        <v>1034093.5</v>
      </c>
      <c r="W4" s="153">
        <v>1034093.5</v>
      </c>
      <c r="X4"/>
    </row>
    <row r="5" spans="1:24" x14ac:dyDescent="0.25">
      <c r="A5" s="152" t="s">
        <v>256</v>
      </c>
      <c r="B5" s="152" t="s">
        <v>257</v>
      </c>
      <c r="C5" s="152" t="s">
        <v>255</v>
      </c>
      <c r="D5" s="153">
        <v>5</v>
      </c>
      <c r="E5" s="153">
        <v>1196310.2</v>
      </c>
      <c r="F5" s="153">
        <v>1196310.2</v>
      </c>
      <c r="G5" s="153">
        <v>0</v>
      </c>
      <c r="H5" s="153">
        <v>1196310.2</v>
      </c>
      <c r="I5" s="153">
        <v>0</v>
      </c>
      <c r="J5" s="153">
        <v>0</v>
      </c>
      <c r="K5" s="153">
        <v>0</v>
      </c>
      <c r="L5" s="153">
        <v>0</v>
      </c>
      <c r="M5" s="153">
        <v>0</v>
      </c>
      <c r="N5" s="153">
        <v>0</v>
      </c>
      <c r="O5" s="153">
        <v>0</v>
      </c>
      <c r="P5" s="153">
        <v>0</v>
      </c>
      <c r="Q5" s="153">
        <v>0</v>
      </c>
      <c r="R5" s="153">
        <v>0</v>
      </c>
      <c r="S5" s="153">
        <v>1196310.2</v>
      </c>
      <c r="T5" s="153">
        <v>3431522.32</v>
      </c>
      <c r="U5" s="153">
        <v>4449.2</v>
      </c>
      <c r="V5" s="153">
        <v>1017000</v>
      </c>
      <c r="W5" s="153">
        <v>1017000</v>
      </c>
      <c r="X5"/>
    </row>
    <row r="6" spans="1:24" x14ac:dyDescent="0.25">
      <c r="A6" s="152" t="s">
        <v>258</v>
      </c>
      <c r="B6" s="152" t="s">
        <v>259</v>
      </c>
      <c r="C6" s="152" t="s">
        <v>260</v>
      </c>
      <c r="D6" s="153">
        <v>5</v>
      </c>
      <c r="E6" s="153">
        <v>103286.04</v>
      </c>
      <c r="F6" s="153">
        <v>103286.04</v>
      </c>
      <c r="G6" s="153">
        <v>0</v>
      </c>
      <c r="H6" s="153">
        <v>103286.04</v>
      </c>
      <c r="I6" s="153">
        <v>0</v>
      </c>
      <c r="J6" s="153">
        <v>0</v>
      </c>
      <c r="K6" s="153">
        <v>0</v>
      </c>
      <c r="L6" s="153">
        <v>0</v>
      </c>
      <c r="M6" s="153">
        <v>0</v>
      </c>
      <c r="N6" s="153">
        <v>0</v>
      </c>
      <c r="O6" s="153">
        <v>0</v>
      </c>
      <c r="P6" s="153">
        <v>0</v>
      </c>
      <c r="Q6" s="153">
        <v>0</v>
      </c>
      <c r="R6" s="153">
        <v>0</v>
      </c>
      <c r="S6" s="153">
        <v>103286.04</v>
      </c>
      <c r="T6" s="153">
        <v>0</v>
      </c>
      <c r="U6" s="153">
        <v>0</v>
      </c>
      <c r="V6" s="153">
        <v>0</v>
      </c>
      <c r="W6" s="153">
        <v>0</v>
      </c>
      <c r="X6"/>
    </row>
    <row r="7" spans="1:24" x14ac:dyDescent="0.25">
      <c r="A7" s="152" t="s">
        <v>261</v>
      </c>
      <c r="B7" s="152" t="s">
        <v>262</v>
      </c>
      <c r="C7" s="152" t="s">
        <v>248</v>
      </c>
      <c r="D7" s="153">
        <v>5</v>
      </c>
      <c r="E7" s="153">
        <v>27135</v>
      </c>
      <c r="F7" s="153">
        <v>27135</v>
      </c>
      <c r="G7" s="153">
        <v>0</v>
      </c>
      <c r="H7" s="153">
        <v>27135</v>
      </c>
      <c r="I7" s="153">
        <v>0</v>
      </c>
      <c r="J7" s="153">
        <v>0</v>
      </c>
      <c r="K7" s="153">
        <v>0</v>
      </c>
      <c r="L7" s="153">
        <v>0</v>
      </c>
      <c r="M7" s="153">
        <v>60551.07</v>
      </c>
      <c r="N7" s="153">
        <v>0</v>
      </c>
      <c r="O7" s="153">
        <v>0</v>
      </c>
      <c r="P7" s="153">
        <v>0</v>
      </c>
      <c r="Q7" s="153">
        <v>4.8499999999999996</v>
      </c>
      <c r="R7" s="153">
        <v>4.8499999999999996</v>
      </c>
      <c r="S7" s="153">
        <v>27130.15</v>
      </c>
      <c r="T7" s="153">
        <v>382328.65</v>
      </c>
      <c r="U7" s="153">
        <v>46.8</v>
      </c>
      <c r="V7" s="153">
        <v>35192</v>
      </c>
      <c r="W7" s="153">
        <v>21115.200000000001</v>
      </c>
      <c r="X7"/>
    </row>
    <row r="8" spans="1:24" x14ac:dyDescent="0.25">
      <c r="A8" s="152" t="s">
        <v>263</v>
      </c>
      <c r="B8" s="152" t="s">
        <v>264</v>
      </c>
      <c r="C8" s="152" t="s">
        <v>248</v>
      </c>
      <c r="D8" s="153">
        <v>5</v>
      </c>
      <c r="E8" s="153">
        <v>10691.12</v>
      </c>
      <c r="F8" s="153">
        <v>10691.12</v>
      </c>
      <c r="G8" s="153">
        <v>0</v>
      </c>
      <c r="H8" s="153">
        <v>10691.12</v>
      </c>
      <c r="I8" s="153">
        <v>0</v>
      </c>
      <c r="J8" s="153">
        <v>0</v>
      </c>
      <c r="K8" s="153">
        <v>0</v>
      </c>
      <c r="L8" s="153">
        <v>0</v>
      </c>
      <c r="M8" s="153">
        <v>33678.120000000003</v>
      </c>
      <c r="N8" s="153">
        <v>0</v>
      </c>
      <c r="O8" s="153">
        <v>0</v>
      </c>
      <c r="P8" s="153">
        <v>0</v>
      </c>
      <c r="Q8" s="153">
        <v>2.7</v>
      </c>
      <c r="R8" s="153">
        <v>2.7</v>
      </c>
      <c r="S8" s="153">
        <v>10688.42</v>
      </c>
      <c r="T8" s="153">
        <v>39174.26</v>
      </c>
      <c r="U8" s="153">
        <v>18.72</v>
      </c>
      <c r="V8" s="153">
        <v>13269</v>
      </c>
      <c r="W8" s="153">
        <v>7961.4</v>
      </c>
      <c r="X8"/>
    </row>
    <row r="9" spans="1:24" x14ac:dyDescent="0.25">
      <c r="A9" s="152" t="s">
        <v>265</v>
      </c>
      <c r="B9" s="152" t="s">
        <v>266</v>
      </c>
      <c r="C9" s="152" t="s">
        <v>248</v>
      </c>
      <c r="D9" s="153">
        <v>5</v>
      </c>
      <c r="E9" s="153">
        <v>44684.480000000003</v>
      </c>
      <c r="F9" s="153">
        <v>44684.480000000003</v>
      </c>
      <c r="G9" s="153">
        <v>0</v>
      </c>
      <c r="H9" s="153">
        <v>44684.480000000003</v>
      </c>
      <c r="I9" s="153">
        <v>0</v>
      </c>
      <c r="J9" s="153">
        <v>0</v>
      </c>
      <c r="K9" s="153">
        <v>0</v>
      </c>
      <c r="L9" s="153">
        <v>0</v>
      </c>
      <c r="M9" s="153">
        <v>206129.05</v>
      </c>
      <c r="N9" s="153">
        <v>0</v>
      </c>
      <c r="O9" s="153">
        <v>0</v>
      </c>
      <c r="P9" s="153">
        <v>0</v>
      </c>
      <c r="Q9" s="153">
        <v>16.510000000000002</v>
      </c>
      <c r="R9" s="153">
        <v>16.510000000000002</v>
      </c>
      <c r="S9" s="153">
        <v>44667.97</v>
      </c>
      <c r="T9" s="153">
        <v>324082.89</v>
      </c>
      <c r="U9" s="153">
        <v>28.08</v>
      </c>
      <c r="V9" s="153">
        <v>43834</v>
      </c>
      <c r="W9" s="153">
        <v>26300.400000000001</v>
      </c>
      <c r="X9"/>
    </row>
    <row r="10" spans="1:24" x14ac:dyDescent="0.25">
      <c r="A10" s="152" t="s">
        <v>267</v>
      </c>
      <c r="B10" s="152" t="s">
        <v>268</v>
      </c>
      <c r="C10" s="152" t="s">
        <v>248</v>
      </c>
      <c r="D10" s="153">
        <v>5</v>
      </c>
      <c r="E10" s="153">
        <v>44684.480000000003</v>
      </c>
      <c r="F10" s="153">
        <v>44684.480000000003</v>
      </c>
      <c r="G10" s="153">
        <v>0</v>
      </c>
      <c r="H10" s="153">
        <v>44684.480000000003</v>
      </c>
      <c r="I10" s="153">
        <v>0</v>
      </c>
      <c r="J10" s="153">
        <v>0</v>
      </c>
      <c r="K10" s="153">
        <v>0</v>
      </c>
      <c r="L10" s="153">
        <v>0</v>
      </c>
      <c r="M10" s="153">
        <v>206129.04</v>
      </c>
      <c r="N10" s="153">
        <v>0</v>
      </c>
      <c r="O10" s="153">
        <v>0</v>
      </c>
      <c r="P10" s="153">
        <v>0</v>
      </c>
      <c r="Q10" s="153">
        <v>4753.8900000000003</v>
      </c>
      <c r="R10" s="153">
        <v>4753.8900000000003</v>
      </c>
      <c r="S10" s="153">
        <v>39930.589999999997</v>
      </c>
      <c r="T10" s="153">
        <v>324082.89</v>
      </c>
      <c r="U10" s="153">
        <v>28.08</v>
      </c>
      <c r="V10" s="153">
        <v>43834</v>
      </c>
      <c r="W10" s="153">
        <v>0</v>
      </c>
      <c r="X10"/>
    </row>
    <row r="11" spans="1:24" x14ac:dyDescent="0.25">
      <c r="A11" s="152" t="s">
        <v>269</v>
      </c>
      <c r="B11" s="152" t="s">
        <v>270</v>
      </c>
      <c r="C11" s="152" t="s">
        <v>248</v>
      </c>
      <c r="D11" s="153">
        <v>5</v>
      </c>
      <c r="E11" s="153">
        <v>9786.1200000000008</v>
      </c>
      <c r="F11" s="153">
        <v>9786.1200000000008</v>
      </c>
      <c r="G11" s="153">
        <v>0</v>
      </c>
      <c r="H11" s="153">
        <v>9786.1200000000008</v>
      </c>
      <c r="I11" s="153">
        <v>0</v>
      </c>
      <c r="J11" s="153">
        <v>0</v>
      </c>
      <c r="K11" s="153">
        <v>0</v>
      </c>
      <c r="L11" s="153">
        <v>0</v>
      </c>
      <c r="M11" s="153">
        <v>32217.51</v>
      </c>
      <c r="N11" s="153">
        <v>0</v>
      </c>
      <c r="O11" s="153">
        <v>0</v>
      </c>
      <c r="P11" s="153">
        <v>0</v>
      </c>
      <c r="Q11" s="153">
        <v>2.58</v>
      </c>
      <c r="R11" s="153">
        <v>2.58</v>
      </c>
      <c r="S11" s="153">
        <v>9783.5400000000009</v>
      </c>
      <c r="T11" s="153">
        <v>37297.54</v>
      </c>
      <c r="U11" s="153">
        <v>18.72</v>
      </c>
      <c r="V11" s="153">
        <v>12024</v>
      </c>
      <c r="W11" s="153">
        <v>7214.4</v>
      </c>
      <c r="X11"/>
    </row>
    <row r="12" spans="1:24" x14ac:dyDescent="0.25">
      <c r="A12" s="152" t="s">
        <v>271</v>
      </c>
      <c r="B12" s="152" t="s">
        <v>272</v>
      </c>
      <c r="C12" s="152" t="s">
        <v>248</v>
      </c>
      <c r="D12" s="153">
        <v>5</v>
      </c>
      <c r="E12" s="153">
        <v>49945.48</v>
      </c>
      <c r="F12" s="153">
        <v>49945.48</v>
      </c>
      <c r="G12" s="153">
        <v>0</v>
      </c>
      <c r="H12" s="153">
        <v>49945.48</v>
      </c>
      <c r="I12" s="153">
        <v>0</v>
      </c>
      <c r="J12" s="153">
        <v>0</v>
      </c>
      <c r="K12" s="153">
        <v>0</v>
      </c>
      <c r="L12" s="153">
        <v>0</v>
      </c>
      <c r="M12" s="153">
        <v>230408.25</v>
      </c>
      <c r="N12" s="153">
        <v>0</v>
      </c>
      <c r="O12" s="153">
        <v>0</v>
      </c>
      <c r="P12" s="153">
        <v>0</v>
      </c>
      <c r="Q12" s="153">
        <v>26165.47</v>
      </c>
      <c r="R12" s="153">
        <v>26165.47</v>
      </c>
      <c r="S12" s="153">
        <v>23780.01</v>
      </c>
      <c r="T12" s="153">
        <v>339100.8</v>
      </c>
      <c r="U12" s="153">
        <v>28.08</v>
      </c>
      <c r="V12" s="153">
        <v>50689</v>
      </c>
      <c r="W12" s="153">
        <v>30413.4</v>
      </c>
      <c r="X12"/>
    </row>
    <row r="13" spans="1:24" x14ac:dyDescent="0.25">
      <c r="A13" s="152" t="s">
        <v>273</v>
      </c>
      <c r="B13" s="152" t="s">
        <v>274</v>
      </c>
      <c r="C13" s="152" t="s">
        <v>248</v>
      </c>
      <c r="D13" s="153">
        <v>5</v>
      </c>
      <c r="E13" s="153">
        <v>59444.480000000003</v>
      </c>
      <c r="F13" s="153">
        <v>59444.480000000003</v>
      </c>
      <c r="G13" s="153">
        <v>0</v>
      </c>
      <c r="H13" s="153">
        <v>59444.480000000003</v>
      </c>
      <c r="I13" s="153">
        <v>0</v>
      </c>
      <c r="J13" s="153">
        <v>0</v>
      </c>
      <c r="K13" s="153">
        <v>0</v>
      </c>
      <c r="L13" s="153">
        <v>0</v>
      </c>
      <c r="M13" s="153">
        <v>240679.52</v>
      </c>
      <c r="N13" s="153">
        <v>0</v>
      </c>
      <c r="O13" s="153">
        <v>0</v>
      </c>
      <c r="P13" s="153">
        <v>0</v>
      </c>
      <c r="Q13" s="153">
        <v>16626.18</v>
      </c>
      <c r="R13" s="153">
        <v>16626.18</v>
      </c>
      <c r="S13" s="153">
        <v>42818.3</v>
      </c>
      <c r="T13" s="153">
        <v>351179.69</v>
      </c>
      <c r="U13" s="153">
        <v>28.08</v>
      </c>
      <c r="V13" s="153">
        <v>64284</v>
      </c>
      <c r="W13" s="153">
        <v>38570.400000000001</v>
      </c>
      <c r="X13"/>
    </row>
    <row r="14" spans="1:24" x14ac:dyDescent="0.25">
      <c r="A14" s="152" t="s">
        <v>275</v>
      </c>
      <c r="B14" s="152" t="s">
        <v>276</v>
      </c>
      <c r="C14" s="152" t="s">
        <v>248</v>
      </c>
      <c r="D14" s="153">
        <v>5</v>
      </c>
      <c r="E14" s="153">
        <v>53249.48</v>
      </c>
      <c r="F14" s="153">
        <v>53249.48</v>
      </c>
      <c r="G14" s="153">
        <v>0</v>
      </c>
      <c r="H14" s="153">
        <v>53249.48</v>
      </c>
      <c r="I14" s="153">
        <v>0</v>
      </c>
      <c r="J14" s="153">
        <v>0</v>
      </c>
      <c r="K14" s="153">
        <v>0</v>
      </c>
      <c r="L14" s="153">
        <v>0</v>
      </c>
      <c r="M14" s="153">
        <v>236090.17</v>
      </c>
      <c r="N14" s="153">
        <v>0</v>
      </c>
      <c r="O14" s="153">
        <v>0</v>
      </c>
      <c r="P14" s="153">
        <v>0</v>
      </c>
      <c r="Q14" s="153">
        <v>12998.26</v>
      </c>
      <c r="R14" s="153">
        <v>12998.26</v>
      </c>
      <c r="S14" s="153">
        <v>40251.22</v>
      </c>
      <c r="T14" s="153">
        <v>345278.67</v>
      </c>
      <c r="U14" s="153">
        <v>28.08</v>
      </c>
      <c r="V14" s="153">
        <v>55224</v>
      </c>
      <c r="W14" s="153">
        <v>33134.400000000001</v>
      </c>
      <c r="X14"/>
    </row>
  </sheetData>
  <pageMargins left="0.7" right="0.7" top="0.75" bottom="0.75" header="0.3" footer="0.3"/>
  <pageSetup paperSize="9" scale="1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41BD-597A-40EA-9447-84C528EDA3DA}">
  <sheetPr>
    <tabColor rgb="FF00B050"/>
    <pageSetUpPr fitToPage="1"/>
  </sheetPr>
  <dimension ref="A1:W24"/>
  <sheetViews>
    <sheetView view="pageBreakPreview" zoomScale="55" zoomScaleNormal="70" zoomScaleSheetLayoutView="55" workbookViewId="0">
      <pane xSplit="2" ySplit="1" topLeftCell="C2" activePane="bottomRight" state="frozen"/>
      <selection activeCell="C34" sqref="C34"/>
      <selection pane="topRight" activeCell="C34" sqref="C34"/>
      <selection pane="bottomLeft" activeCell="C34" sqref="C34"/>
      <selection pane="bottomRight" activeCell="O41" sqref="O41"/>
    </sheetView>
  </sheetViews>
  <sheetFormatPr defaultColWidth="8.69921875" defaultRowHeight="18" x14ac:dyDescent="0.25"/>
  <cols>
    <col min="1" max="1" width="20.69921875" style="86" bestFit="1" customWidth="1"/>
    <col min="2" max="2" width="40.3984375" style="86" customWidth="1"/>
    <col min="3" max="3" width="31.69921875" style="86" bestFit="1" customWidth="1"/>
    <col min="4" max="4" width="4.5" style="86" bestFit="1" customWidth="1"/>
    <col min="5" max="5" width="15.3984375" style="86" bestFit="1" customWidth="1"/>
    <col min="6" max="6" width="14.8984375" style="86" bestFit="1" customWidth="1"/>
    <col min="7" max="7" width="7" style="86" bestFit="1" customWidth="1"/>
    <col min="8" max="8" width="12.69921875" style="86" bestFit="1" customWidth="1"/>
    <col min="9" max="9" width="11.69921875" style="86" bestFit="1" customWidth="1"/>
    <col min="10" max="10" width="14" style="86" bestFit="1" customWidth="1"/>
    <col min="11" max="11" width="16.19921875" style="86" bestFit="1" customWidth="1"/>
    <col min="12" max="12" width="23.19921875" style="86" bestFit="1" customWidth="1"/>
    <col min="13" max="13" width="18.19921875" style="86" bestFit="1" customWidth="1"/>
    <col min="14" max="14" width="25.3984375" style="86" bestFit="1" customWidth="1"/>
    <col min="15" max="15" width="13.09765625" style="86" bestFit="1" customWidth="1"/>
    <col min="16" max="16" width="15.3984375" style="86" bestFit="1" customWidth="1"/>
    <col min="17" max="17" width="17.59765625" style="86" bestFit="1" customWidth="1"/>
    <col min="18" max="18" width="25.3984375" style="86" bestFit="1" customWidth="1"/>
    <col min="19" max="19" width="16" style="86" bestFit="1" customWidth="1"/>
    <col min="20" max="20" width="11.69921875" style="86" customWidth="1"/>
    <col min="21" max="21" width="26.69921875" style="86" bestFit="1" customWidth="1"/>
    <col min="22" max="22" width="14.8984375" style="86" bestFit="1" customWidth="1"/>
    <col min="23" max="23" width="16.5" style="86" bestFit="1" customWidth="1"/>
    <col min="24" max="27" width="11.69921875" style="86" customWidth="1"/>
    <col min="28" max="28" width="20.5" style="86" customWidth="1"/>
    <col min="29" max="16384" width="8.69921875" style="86"/>
  </cols>
  <sheetData>
    <row r="1" spans="1:23" x14ac:dyDescent="0.25">
      <c r="A1" s="150" t="s">
        <v>220</v>
      </c>
      <c r="B1" s="150" t="s">
        <v>221</v>
      </c>
      <c r="C1" s="150" t="s">
        <v>222</v>
      </c>
      <c r="D1" s="151" t="s">
        <v>223</v>
      </c>
      <c r="E1" s="151" t="s">
        <v>224</v>
      </c>
      <c r="F1" s="151" t="s">
        <v>225</v>
      </c>
      <c r="G1" s="151" t="s">
        <v>226</v>
      </c>
      <c r="H1" s="151" t="s">
        <v>227</v>
      </c>
      <c r="I1" s="151" t="s">
        <v>228</v>
      </c>
      <c r="J1" s="151" t="s">
        <v>229</v>
      </c>
      <c r="K1" s="151" t="s">
        <v>230</v>
      </c>
      <c r="L1" s="151" t="s">
        <v>231</v>
      </c>
      <c r="M1" s="151" t="s">
        <v>232</v>
      </c>
      <c r="N1" s="151" t="s">
        <v>233</v>
      </c>
      <c r="O1" s="151" t="s">
        <v>234</v>
      </c>
      <c r="P1" s="151" t="s">
        <v>235</v>
      </c>
      <c r="Q1" s="151" t="s">
        <v>236</v>
      </c>
      <c r="R1" s="151" t="s">
        <v>237</v>
      </c>
      <c r="S1" s="151" t="s">
        <v>238</v>
      </c>
      <c r="T1" s="151" t="s">
        <v>239</v>
      </c>
      <c r="U1" s="151" t="s">
        <v>240</v>
      </c>
      <c r="V1" s="151" t="s">
        <v>241</v>
      </c>
      <c r="W1" s="151" t="s">
        <v>242</v>
      </c>
    </row>
    <row r="2" spans="1:23" x14ac:dyDescent="0.25">
      <c r="A2" s="152" t="s">
        <v>181</v>
      </c>
      <c r="B2" s="152" t="s">
        <v>277</v>
      </c>
      <c r="C2" s="152" t="s">
        <v>248</v>
      </c>
      <c r="D2" s="153">
        <v>4</v>
      </c>
      <c r="E2" s="153">
        <v>9894069.9199999999</v>
      </c>
      <c r="F2" s="153">
        <v>9894069.9199999999</v>
      </c>
      <c r="G2" s="153">
        <v>0</v>
      </c>
      <c r="H2" s="153">
        <v>9894069.9199999999</v>
      </c>
      <c r="I2" s="153">
        <v>422500</v>
      </c>
      <c r="J2" s="153">
        <v>0</v>
      </c>
      <c r="K2" s="153">
        <v>0</v>
      </c>
      <c r="L2" s="153">
        <v>0</v>
      </c>
      <c r="M2" s="153">
        <v>656200</v>
      </c>
      <c r="N2" s="153">
        <v>73400</v>
      </c>
      <c r="O2" s="153">
        <v>439000</v>
      </c>
      <c r="P2" s="153">
        <v>0</v>
      </c>
      <c r="Q2" s="153">
        <v>861.33</v>
      </c>
      <c r="R2" s="153">
        <v>513261.33</v>
      </c>
      <c r="S2" s="153">
        <v>9380808.5899999999</v>
      </c>
      <c r="T2" s="153">
        <v>8186648.8499999996</v>
      </c>
      <c r="U2" s="153">
        <v>643068.92000000004</v>
      </c>
      <c r="V2" s="153">
        <v>8918157</v>
      </c>
      <c r="W2" s="153">
        <v>8918157</v>
      </c>
    </row>
    <row r="3" spans="1:23" x14ac:dyDescent="0.25">
      <c r="A3" s="152" t="s">
        <v>278</v>
      </c>
      <c r="B3" s="152" t="s">
        <v>279</v>
      </c>
      <c r="C3" s="152" t="s">
        <v>280</v>
      </c>
      <c r="D3" s="153">
        <v>4</v>
      </c>
      <c r="E3" s="153">
        <v>0</v>
      </c>
      <c r="F3" s="153">
        <v>0</v>
      </c>
      <c r="G3" s="153">
        <v>0</v>
      </c>
      <c r="H3" s="153">
        <v>0</v>
      </c>
      <c r="I3" s="153">
        <v>0</v>
      </c>
      <c r="J3" s="153">
        <v>0</v>
      </c>
      <c r="K3" s="153">
        <v>0</v>
      </c>
      <c r="L3" s="153">
        <v>0</v>
      </c>
      <c r="M3" s="153">
        <v>0</v>
      </c>
      <c r="N3" s="153">
        <v>0</v>
      </c>
      <c r="O3" s="153">
        <v>0</v>
      </c>
      <c r="P3" s="153">
        <v>0</v>
      </c>
      <c r="Q3" s="153">
        <v>0</v>
      </c>
      <c r="R3" s="153">
        <v>0</v>
      </c>
      <c r="S3" s="153">
        <v>0</v>
      </c>
      <c r="T3" s="153">
        <v>0</v>
      </c>
      <c r="U3" s="153">
        <v>0</v>
      </c>
      <c r="V3" s="153">
        <v>0</v>
      </c>
      <c r="W3" s="153">
        <v>0</v>
      </c>
    </row>
    <row r="4" spans="1:23" x14ac:dyDescent="0.25">
      <c r="A4" s="152" t="s">
        <v>281</v>
      </c>
      <c r="B4" s="152" t="s">
        <v>282</v>
      </c>
      <c r="C4" s="152" t="s">
        <v>248</v>
      </c>
      <c r="D4" s="153">
        <v>4</v>
      </c>
      <c r="E4" s="153">
        <v>99202</v>
      </c>
      <c r="F4" s="153">
        <v>99202</v>
      </c>
      <c r="G4" s="153">
        <v>0</v>
      </c>
      <c r="H4" s="153">
        <v>99202</v>
      </c>
      <c r="I4" s="153">
        <v>0</v>
      </c>
      <c r="J4" s="153">
        <v>0</v>
      </c>
      <c r="K4" s="153">
        <v>0</v>
      </c>
      <c r="L4" s="153">
        <v>0</v>
      </c>
      <c r="M4" s="153">
        <v>176546.42</v>
      </c>
      <c r="N4" s="153">
        <v>0</v>
      </c>
      <c r="O4" s="153">
        <v>0</v>
      </c>
      <c r="P4" s="153">
        <v>0</v>
      </c>
      <c r="Q4" s="153">
        <v>8.7899999999999991</v>
      </c>
      <c r="R4" s="153">
        <v>8.7899999999999991</v>
      </c>
      <c r="S4" s="153">
        <v>99193.21</v>
      </c>
      <c r="T4" s="153">
        <v>293395.03999999998</v>
      </c>
      <c r="U4" s="153">
        <v>0</v>
      </c>
      <c r="V4" s="153">
        <v>85332</v>
      </c>
      <c r="W4" s="153">
        <v>85332</v>
      </c>
    </row>
    <row r="5" spans="1:23" x14ac:dyDescent="0.25">
      <c r="A5" s="152" t="s">
        <v>283</v>
      </c>
      <c r="B5" s="152" t="s">
        <v>284</v>
      </c>
      <c r="C5" s="152" t="s">
        <v>248</v>
      </c>
      <c r="D5" s="153">
        <v>4</v>
      </c>
      <c r="E5" s="153">
        <v>7982957.3700000001</v>
      </c>
      <c r="F5" s="153">
        <v>7982957.3700000001</v>
      </c>
      <c r="G5" s="153">
        <v>0</v>
      </c>
      <c r="H5" s="153">
        <v>7982957.3700000001</v>
      </c>
      <c r="I5" s="153">
        <v>466627.59</v>
      </c>
      <c r="J5" s="153">
        <v>0</v>
      </c>
      <c r="K5" s="153">
        <v>0</v>
      </c>
      <c r="L5" s="153">
        <v>0</v>
      </c>
      <c r="M5" s="153">
        <v>2398590.1800000002</v>
      </c>
      <c r="N5" s="153">
        <v>0</v>
      </c>
      <c r="O5" s="153">
        <v>0</v>
      </c>
      <c r="P5" s="153">
        <v>0</v>
      </c>
      <c r="Q5" s="153">
        <v>154890.6</v>
      </c>
      <c r="R5" s="153">
        <v>154890.6</v>
      </c>
      <c r="S5" s="153">
        <v>7828066.7699999996</v>
      </c>
      <c r="T5" s="153">
        <v>8670880.2899999991</v>
      </c>
      <c r="U5" s="153">
        <v>1942951</v>
      </c>
      <c r="V5" s="153">
        <v>3713733</v>
      </c>
      <c r="W5" s="153">
        <v>3713733</v>
      </c>
    </row>
    <row r="6" spans="1:23" x14ac:dyDescent="0.25">
      <c r="A6" s="152" t="s">
        <v>285</v>
      </c>
      <c r="B6" s="152" t="s">
        <v>286</v>
      </c>
      <c r="C6" s="152" t="s">
        <v>255</v>
      </c>
      <c r="D6" s="153">
        <v>4</v>
      </c>
      <c r="E6" s="153">
        <v>2791950.44</v>
      </c>
      <c r="F6" s="153">
        <v>2791950.44</v>
      </c>
      <c r="G6" s="153">
        <v>0</v>
      </c>
      <c r="H6" s="153">
        <v>2791950.44</v>
      </c>
      <c r="I6" s="153">
        <v>0</v>
      </c>
      <c r="J6" s="153">
        <v>0</v>
      </c>
      <c r="K6" s="153">
        <v>0</v>
      </c>
      <c r="L6" s="153">
        <v>0</v>
      </c>
      <c r="M6" s="153">
        <v>0</v>
      </c>
      <c r="N6" s="153">
        <v>0</v>
      </c>
      <c r="O6" s="153">
        <v>0</v>
      </c>
      <c r="P6" s="153">
        <v>0</v>
      </c>
      <c r="Q6" s="153">
        <v>0</v>
      </c>
      <c r="R6" s="153">
        <v>0</v>
      </c>
      <c r="S6" s="153">
        <v>2791950.44</v>
      </c>
      <c r="T6" s="153">
        <v>6922474.2599999998</v>
      </c>
      <c r="U6" s="153">
        <v>6542.44</v>
      </c>
      <c r="V6" s="153">
        <v>2505686</v>
      </c>
      <c r="W6" s="153">
        <v>2505686</v>
      </c>
    </row>
    <row r="7" spans="1:23" x14ac:dyDescent="0.25">
      <c r="A7" s="152" t="s">
        <v>287</v>
      </c>
      <c r="B7" s="152" t="s">
        <v>288</v>
      </c>
      <c r="C7" s="152" t="s">
        <v>255</v>
      </c>
      <c r="D7" s="153">
        <v>4</v>
      </c>
      <c r="E7" s="153">
        <v>1451420.12</v>
      </c>
      <c r="F7" s="153">
        <v>1451420.12</v>
      </c>
      <c r="G7" s="153">
        <v>0</v>
      </c>
      <c r="H7" s="153">
        <v>1451420.12</v>
      </c>
      <c r="I7" s="153">
        <v>0</v>
      </c>
      <c r="J7" s="153">
        <v>0</v>
      </c>
      <c r="K7" s="153">
        <v>0</v>
      </c>
      <c r="L7" s="153">
        <v>0</v>
      </c>
      <c r="M7" s="153">
        <v>0</v>
      </c>
      <c r="N7" s="153">
        <v>0</v>
      </c>
      <c r="O7" s="153">
        <v>0</v>
      </c>
      <c r="P7" s="153">
        <v>0</v>
      </c>
      <c r="Q7" s="153">
        <v>0</v>
      </c>
      <c r="R7" s="153">
        <v>0</v>
      </c>
      <c r="S7" s="153">
        <v>1451420.12</v>
      </c>
      <c r="T7" s="153">
        <v>4117527.22</v>
      </c>
      <c r="U7" s="153">
        <v>6995.12</v>
      </c>
      <c r="V7" s="153">
        <v>1242593</v>
      </c>
      <c r="W7" s="153">
        <v>1242593</v>
      </c>
    </row>
    <row r="8" spans="1:23" x14ac:dyDescent="0.25">
      <c r="A8" s="152" t="s">
        <v>289</v>
      </c>
      <c r="B8" s="152" t="s">
        <v>290</v>
      </c>
      <c r="C8" s="152" t="s">
        <v>255</v>
      </c>
      <c r="D8" s="153">
        <v>4</v>
      </c>
      <c r="E8" s="153">
        <v>225852.72</v>
      </c>
      <c r="F8" s="153">
        <v>225852.72</v>
      </c>
      <c r="G8" s="153">
        <v>0</v>
      </c>
      <c r="H8" s="153">
        <v>225852.72</v>
      </c>
      <c r="I8" s="153">
        <v>0</v>
      </c>
      <c r="J8" s="153">
        <v>0</v>
      </c>
      <c r="K8" s="153">
        <v>0</v>
      </c>
      <c r="L8" s="153">
        <v>0</v>
      </c>
      <c r="M8" s="153">
        <v>0</v>
      </c>
      <c r="N8" s="153">
        <v>0</v>
      </c>
      <c r="O8" s="153">
        <v>0</v>
      </c>
      <c r="P8" s="153">
        <v>0</v>
      </c>
      <c r="Q8" s="153">
        <v>0</v>
      </c>
      <c r="R8" s="153">
        <v>0</v>
      </c>
      <c r="S8" s="153">
        <v>225852.72</v>
      </c>
      <c r="T8" s="153">
        <v>686963.13</v>
      </c>
      <c r="U8" s="153">
        <v>1460.72</v>
      </c>
      <c r="V8" s="153">
        <v>192635</v>
      </c>
      <c r="W8" s="153">
        <v>192635</v>
      </c>
    </row>
    <row r="9" spans="1:23" x14ac:dyDescent="0.25">
      <c r="A9" s="152" t="s">
        <v>291</v>
      </c>
      <c r="B9" s="152" t="s">
        <v>292</v>
      </c>
      <c r="C9" s="152" t="s">
        <v>260</v>
      </c>
      <c r="D9" s="153">
        <v>4</v>
      </c>
      <c r="E9" s="153">
        <v>302512.74</v>
      </c>
      <c r="F9" s="153">
        <v>302512.74</v>
      </c>
      <c r="G9" s="153">
        <v>0</v>
      </c>
      <c r="H9" s="153">
        <v>302512.74</v>
      </c>
      <c r="I9" s="153">
        <v>0</v>
      </c>
      <c r="J9" s="153">
        <v>0</v>
      </c>
      <c r="K9" s="153">
        <v>0</v>
      </c>
      <c r="L9" s="153">
        <v>0</v>
      </c>
      <c r="M9" s="153">
        <v>0</v>
      </c>
      <c r="N9" s="153">
        <v>0</v>
      </c>
      <c r="O9" s="153">
        <v>0</v>
      </c>
      <c r="P9" s="153">
        <v>0</v>
      </c>
      <c r="Q9" s="153">
        <v>0</v>
      </c>
      <c r="R9" s="153">
        <v>0</v>
      </c>
      <c r="S9" s="153">
        <v>302512.74</v>
      </c>
      <c r="T9" s="153">
        <v>0</v>
      </c>
      <c r="U9" s="153">
        <v>0</v>
      </c>
      <c r="V9" s="153">
        <v>0</v>
      </c>
      <c r="W9" s="153">
        <v>0</v>
      </c>
    </row>
    <row r="10" spans="1:23" x14ac:dyDescent="0.25">
      <c r="A10" s="152" t="s">
        <v>293</v>
      </c>
      <c r="B10" s="152" t="s">
        <v>294</v>
      </c>
      <c r="C10" s="152" t="s">
        <v>255</v>
      </c>
      <c r="D10" s="153">
        <v>5</v>
      </c>
      <c r="E10" s="153">
        <v>5226.12</v>
      </c>
      <c r="F10" s="153">
        <v>5226.12</v>
      </c>
      <c r="G10" s="153">
        <v>0</v>
      </c>
      <c r="H10" s="153">
        <v>5226.12</v>
      </c>
      <c r="I10" s="153">
        <v>0</v>
      </c>
      <c r="J10" s="153">
        <v>0</v>
      </c>
      <c r="K10" s="153">
        <v>0</v>
      </c>
      <c r="L10" s="153">
        <v>0</v>
      </c>
      <c r="M10" s="153">
        <v>0</v>
      </c>
      <c r="N10" s="153">
        <v>0</v>
      </c>
      <c r="O10" s="153">
        <v>0</v>
      </c>
      <c r="P10" s="153">
        <v>0</v>
      </c>
      <c r="Q10" s="153">
        <v>0</v>
      </c>
      <c r="R10" s="153">
        <v>0</v>
      </c>
      <c r="S10" s="153">
        <v>5226.12</v>
      </c>
      <c r="T10" s="153">
        <v>25362.29</v>
      </c>
      <c r="U10" s="153">
        <v>18.72</v>
      </c>
      <c r="V10" s="153">
        <v>6079</v>
      </c>
      <c r="W10" s="153">
        <v>3647.4</v>
      </c>
    </row>
    <row r="11" spans="1:23" x14ac:dyDescent="0.25">
      <c r="A11" s="152" t="s">
        <v>295</v>
      </c>
      <c r="B11" s="152" t="s">
        <v>296</v>
      </c>
      <c r="C11" s="152" t="s">
        <v>255</v>
      </c>
      <c r="D11" s="153">
        <v>5</v>
      </c>
      <c r="E11" s="153">
        <v>5222.32</v>
      </c>
      <c r="F11" s="153">
        <v>5222.32</v>
      </c>
      <c r="G11" s="153">
        <v>0</v>
      </c>
      <c r="H11" s="153">
        <v>5222.32</v>
      </c>
      <c r="I11" s="153">
        <v>0</v>
      </c>
      <c r="J11" s="153">
        <v>0</v>
      </c>
      <c r="K11" s="153">
        <v>0</v>
      </c>
      <c r="L11" s="153">
        <v>0</v>
      </c>
      <c r="M11" s="153">
        <v>0</v>
      </c>
      <c r="N11" s="153">
        <v>0</v>
      </c>
      <c r="O11" s="153">
        <v>0</v>
      </c>
      <c r="P11" s="153">
        <v>0</v>
      </c>
      <c r="Q11" s="153">
        <v>0</v>
      </c>
      <c r="R11" s="153">
        <v>0</v>
      </c>
      <c r="S11" s="153">
        <v>5222.32</v>
      </c>
      <c r="T11" s="153">
        <v>25325.79</v>
      </c>
      <c r="U11" s="153">
        <v>18.72</v>
      </c>
      <c r="V11" s="153">
        <v>6076</v>
      </c>
      <c r="W11" s="153">
        <v>3645.6</v>
      </c>
    </row>
    <row r="12" spans="1:23" x14ac:dyDescent="0.25">
      <c r="A12" s="152" t="s">
        <v>297</v>
      </c>
      <c r="B12" s="152" t="s">
        <v>298</v>
      </c>
      <c r="C12" s="152" t="s">
        <v>255</v>
      </c>
      <c r="D12" s="153">
        <v>5</v>
      </c>
      <c r="E12" s="153">
        <v>2794.44</v>
      </c>
      <c r="F12" s="153">
        <v>2794.44</v>
      </c>
      <c r="G12" s="153">
        <v>0</v>
      </c>
      <c r="H12" s="153">
        <v>2794.44</v>
      </c>
      <c r="I12" s="153">
        <v>0</v>
      </c>
      <c r="J12" s="153">
        <v>0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0</v>
      </c>
      <c r="Q12" s="153">
        <v>0</v>
      </c>
      <c r="R12" s="153">
        <v>0</v>
      </c>
      <c r="S12" s="153">
        <v>2794.44</v>
      </c>
      <c r="T12" s="153">
        <v>15427.68</v>
      </c>
      <c r="U12" s="153">
        <v>37.44</v>
      </c>
      <c r="V12" s="153">
        <v>3100</v>
      </c>
      <c r="W12" s="153">
        <v>1860</v>
      </c>
    </row>
    <row r="13" spans="1:23" x14ac:dyDescent="0.25">
      <c r="A13" s="152" t="s">
        <v>299</v>
      </c>
      <c r="B13" s="152" t="s">
        <v>300</v>
      </c>
      <c r="C13" s="152" t="s">
        <v>255</v>
      </c>
      <c r="D13" s="153">
        <v>5</v>
      </c>
      <c r="E13" s="153">
        <v>5226.12</v>
      </c>
      <c r="F13" s="153">
        <v>5226.12</v>
      </c>
      <c r="G13" s="153">
        <v>0</v>
      </c>
      <c r="H13" s="153">
        <v>5226.12</v>
      </c>
      <c r="I13" s="153">
        <v>0</v>
      </c>
      <c r="J13" s="153">
        <v>0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3">
        <v>0</v>
      </c>
      <c r="Q13" s="153">
        <v>0</v>
      </c>
      <c r="R13" s="153">
        <v>0</v>
      </c>
      <c r="S13" s="153">
        <v>5226.12</v>
      </c>
      <c r="T13" s="153">
        <v>25362.29</v>
      </c>
      <c r="U13" s="153">
        <v>18.72</v>
      </c>
      <c r="V13" s="153">
        <v>6079</v>
      </c>
      <c r="W13" s="153">
        <v>3647.4</v>
      </c>
    </row>
    <row r="14" spans="1:23" x14ac:dyDescent="0.25">
      <c r="A14" s="152" t="s">
        <v>301</v>
      </c>
      <c r="B14" s="152" t="s">
        <v>302</v>
      </c>
      <c r="C14" s="152" t="s">
        <v>255</v>
      </c>
      <c r="D14" s="153">
        <v>5</v>
      </c>
      <c r="E14" s="153">
        <v>47791.28</v>
      </c>
      <c r="F14" s="153">
        <v>47791.28</v>
      </c>
      <c r="G14" s="153">
        <v>0</v>
      </c>
      <c r="H14" s="153">
        <v>47791.28</v>
      </c>
      <c r="I14" s="153">
        <v>0</v>
      </c>
      <c r="J14" s="153">
        <v>0</v>
      </c>
      <c r="K14" s="153">
        <v>0</v>
      </c>
      <c r="L14" s="153">
        <v>0</v>
      </c>
      <c r="M14" s="153">
        <v>0</v>
      </c>
      <c r="N14" s="153">
        <v>0</v>
      </c>
      <c r="O14" s="153">
        <v>0</v>
      </c>
      <c r="P14" s="153">
        <v>0</v>
      </c>
      <c r="Q14" s="153">
        <v>0</v>
      </c>
      <c r="R14" s="153">
        <v>0</v>
      </c>
      <c r="S14" s="153">
        <v>47791.28</v>
      </c>
      <c r="T14" s="153">
        <v>336963.44</v>
      </c>
      <c r="U14" s="153">
        <v>28.08</v>
      </c>
      <c r="V14" s="153">
        <v>47952</v>
      </c>
      <c r="W14" s="153">
        <v>28771.200000000001</v>
      </c>
    </row>
    <row r="15" spans="1:23" x14ac:dyDescent="0.25">
      <c r="A15" s="152" t="s">
        <v>303</v>
      </c>
      <c r="B15" s="152" t="s">
        <v>304</v>
      </c>
      <c r="C15" s="152" t="s">
        <v>255</v>
      </c>
      <c r="D15" s="153">
        <v>5</v>
      </c>
      <c r="E15" s="153">
        <v>47997.2</v>
      </c>
      <c r="F15" s="153">
        <v>47997.2</v>
      </c>
      <c r="G15" s="153">
        <v>0</v>
      </c>
      <c r="H15" s="153">
        <v>47997.2</v>
      </c>
      <c r="I15" s="153">
        <v>0</v>
      </c>
      <c r="J15" s="153">
        <v>0</v>
      </c>
      <c r="K15" s="153">
        <v>0</v>
      </c>
      <c r="L15" s="153">
        <v>0</v>
      </c>
      <c r="M15" s="153">
        <v>0</v>
      </c>
      <c r="N15" s="153">
        <v>0</v>
      </c>
      <c r="O15" s="153">
        <v>0</v>
      </c>
      <c r="P15" s="153">
        <v>0</v>
      </c>
      <c r="Q15" s="153">
        <v>0</v>
      </c>
      <c r="R15" s="153">
        <v>0</v>
      </c>
      <c r="S15" s="153">
        <v>47997.2</v>
      </c>
      <c r="T15" s="153">
        <v>347326.03</v>
      </c>
      <c r="U15" s="153">
        <v>46.8</v>
      </c>
      <c r="V15" s="153">
        <v>48489</v>
      </c>
      <c r="W15" s="153">
        <v>29093.4</v>
      </c>
    </row>
    <row r="16" spans="1:23" x14ac:dyDescent="0.25">
      <c r="A16" s="152" t="s">
        <v>305</v>
      </c>
      <c r="B16" s="152" t="s">
        <v>306</v>
      </c>
      <c r="C16" s="152" t="s">
        <v>255</v>
      </c>
      <c r="D16" s="153">
        <v>5</v>
      </c>
      <c r="E16" s="153">
        <v>48054.48</v>
      </c>
      <c r="F16" s="153">
        <v>48054.48</v>
      </c>
      <c r="G16" s="153">
        <v>0</v>
      </c>
      <c r="H16" s="153">
        <v>48054.48</v>
      </c>
      <c r="I16" s="153">
        <v>0</v>
      </c>
      <c r="J16" s="153">
        <v>0</v>
      </c>
      <c r="K16" s="153">
        <v>0</v>
      </c>
      <c r="L16" s="153">
        <v>0</v>
      </c>
      <c r="M16" s="153">
        <v>0</v>
      </c>
      <c r="N16" s="153">
        <v>0</v>
      </c>
      <c r="O16" s="153">
        <v>0</v>
      </c>
      <c r="P16" s="153">
        <v>0</v>
      </c>
      <c r="Q16" s="153">
        <v>0</v>
      </c>
      <c r="R16" s="153">
        <v>0</v>
      </c>
      <c r="S16" s="153">
        <v>48054.48</v>
      </c>
      <c r="T16" s="153">
        <v>338149.29</v>
      </c>
      <c r="U16" s="153">
        <v>28.08</v>
      </c>
      <c r="V16" s="153">
        <v>48634</v>
      </c>
      <c r="W16" s="153">
        <v>29180.400000000001</v>
      </c>
    </row>
    <row r="17" spans="1:23" x14ac:dyDescent="0.25">
      <c r="A17" s="152" t="s">
        <v>307</v>
      </c>
      <c r="B17" s="152" t="s">
        <v>308</v>
      </c>
      <c r="C17" s="152" t="s">
        <v>255</v>
      </c>
      <c r="D17" s="153">
        <v>5</v>
      </c>
      <c r="E17" s="153">
        <v>46900.480000000003</v>
      </c>
      <c r="F17" s="153">
        <v>46900.480000000003</v>
      </c>
      <c r="G17" s="153">
        <v>0</v>
      </c>
      <c r="H17" s="153">
        <v>46900.480000000003</v>
      </c>
      <c r="I17" s="153">
        <v>0</v>
      </c>
      <c r="J17" s="153">
        <v>0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0</v>
      </c>
      <c r="Q17" s="153">
        <v>0</v>
      </c>
      <c r="R17" s="153">
        <v>0</v>
      </c>
      <c r="S17" s="153">
        <v>46900.480000000003</v>
      </c>
      <c r="T17" s="153">
        <v>334336.45</v>
      </c>
      <c r="U17" s="153">
        <v>28.08</v>
      </c>
      <c r="V17" s="153">
        <v>46499</v>
      </c>
      <c r="W17" s="153">
        <v>27899.4</v>
      </c>
    </row>
    <row r="18" spans="1:23" x14ac:dyDescent="0.25">
      <c r="A18" s="152" t="s">
        <v>309</v>
      </c>
      <c r="B18" s="152" t="s">
        <v>310</v>
      </c>
      <c r="C18" s="152" t="s">
        <v>255</v>
      </c>
      <c r="D18" s="153">
        <v>5</v>
      </c>
      <c r="E18" s="153">
        <v>47489.48</v>
      </c>
      <c r="F18" s="153">
        <v>47489.48</v>
      </c>
      <c r="G18" s="153">
        <v>0</v>
      </c>
      <c r="H18" s="153">
        <v>47489.48</v>
      </c>
      <c r="I18" s="153">
        <v>0</v>
      </c>
      <c r="J18" s="153">
        <v>0</v>
      </c>
      <c r="K18" s="153">
        <v>0</v>
      </c>
      <c r="L18" s="153">
        <v>0</v>
      </c>
      <c r="M18" s="153">
        <v>0</v>
      </c>
      <c r="N18" s="153">
        <v>0</v>
      </c>
      <c r="O18" s="153">
        <v>0</v>
      </c>
      <c r="P18" s="153">
        <v>0</v>
      </c>
      <c r="Q18" s="153">
        <v>0</v>
      </c>
      <c r="R18" s="153">
        <v>0</v>
      </c>
      <c r="S18" s="153">
        <v>47489.48</v>
      </c>
      <c r="T18" s="153">
        <v>334001.57</v>
      </c>
      <c r="U18" s="153">
        <v>28.08</v>
      </c>
      <c r="V18" s="153">
        <v>48044</v>
      </c>
      <c r="W18" s="153">
        <v>28826.400000000001</v>
      </c>
    </row>
    <row r="19" spans="1:23" x14ac:dyDescent="0.25">
      <c r="A19" s="152" t="s">
        <v>311</v>
      </c>
      <c r="B19" s="152" t="s">
        <v>312</v>
      </c>
      <c r="C19" s="152" t="s">
        <v>255</v>
      </c>
      <c r="D19" s="153">
        <v>5</v>
      </c>
      <c r="E19" s="153">
        <v>46345.96</v>
      </c>
      <c r="F19" s="153">
        <v>46345.96</v>
      </c>
      <c r="G19" s="153">
        <v>0</v>
      </c>
      <c r="H19" s="153">
        <v>46345.96</v>
      </c>
      <c r="I19" s="153">
        <v>0</v>
      </c>
      <c r="J19" s="153">
        <v>0</v>
      </c>
      <c r="K19" s="153">
        <v>0</v>
      </c>
      <c r="L19" s="153">
        <v>0</v>
      </c>
      <c r="M19" s="153">
        <v>0</v>
      </c>
      <c r="N19" s="153">
        <v>0</v>
      </c>
      <c r="O19" s="153">
        <v>0</v>
      </c>
      <c r="P19" s="153">
        <v>0</v>
      </c>
      <c r="Q19" s="153">
        <v>0</v>
      </c>
      <c r="R19" s="153">
        <v>0</v>
      </c>
      <c r="S19" s="153">
        <v>46345.96</v>
      </c>
      <c r="T19" s="153">
        <v>173908.04</v>
      </c>
      <c r="U19" s="153">
        <v>56.16</v>
      </c>
      <c r="V19" s="153">
        <v>57878</v>
      </c>
      <c r="W19" s="153">
        <v>34726.800000000003</v>
      </c>
    </row>
    <row r="20" spans="1:23" x14ac:dyDescent="0.25">
      <c r="A20" s="152" t="s">
        <v>313</v>
      </c>
      <c r="B20" s="152" t="s">
        <v>314</v>
      </c>
      <c r="C20" s="152" t="s">
        <v>255</v>
      </c>
      <c r="D20" s="153">
        <v>5</v>
      </c>
      <c r="E20" s="153">
        <v>5430.92</v>
      </c>
      <c r="F20" s="153">
        <v>5430.92</v>
      </c>
      <c r="G20" s="153">
        <v>0</v>
      </c>
      <c r="H20" s="153">
        <v>5430.92</v>
      </c>
      <c r="I20" s="153">
        <v>0</v>
      </c>
      <c r="J20" s="153">
        <v>0</v>
      </c>
      <c r="K20" s="153">
        <v>0</v>
      </c>
      <c r="L20" s="153">
        <v>0</v>
      </c>
      <c r="M20" s="153">
        <v>0</v>
      </c>
      <c r="N20" s="153">
        <v>0</v>
      </c>
      <c r="O20" s="153">
        <v>0</v>
      </c>
      <c r="P20" s="153">
        <v>0</v>
      </c>
      <c r="Q20" s="153">
        <v>0</v>
      </c>
      <c r="R20" s="153">
        <v>0</v>
      </c>
      <c r="S20" s="153">
        <v>5430.92</v>
      </c>
      <c r="T20" s="153">
        <v>26749.14</v>
      </c>
      <c r="U20" s="153">
        <v>18.72</v>
      </c>
      <c r="V20" s="153">
        <v>6297</v>
      </c>
      <c r="W20" s="153">
        <v>3778.2</v>
      </c>
    </row>
    <row r="21" spans="1:23" x14ac:dyDescent="0.25">
      <c r="A21" s="152" t="s">
        <v>315</v>
      </c>
      <c r="B21" s="152" t="s">
        <v>316</v>
      </c>
      <c r="C21" s="152" t="s">
        <v>317</v>
      </c>
      <c r="D21" s="153">
        <v>3</v>
      </c>
      <c r="E21" s="153">
        <v>16907216.210000001</v>
      </c>
      <c r="F21" s="153">
        <v>16515514.210000001</v>
      </c>
      <c r="G21" s="153">
        <v>0</v>
      </c>
      <c r="H21" s="153">
        <v>16515514.210000001</v>
      </c>
      <c r="I21" s="153">
        <v>9031170.0700000003</v>
      </c>
      <c r="J21" s="153">
        <v>0</v>
      </c>
      <c r="K21" s="153">
        <v>0</v>
      </c>
      <c r="L21" s="153">
        <v>0</v>
      </c>
      <c r="M21" s="153">
        <v>0</v>
      </c>
      <c r="N21" s="153">
        <v>0</v>
      </c>
      <c r="O21" s="153">
        <v>0</v>
      </c>
      <c r="P21" s="153">
        <v>0</v>
      </c>
      <c r="Q21" s="153">
        <v>0</v>
      </c>
      <c r="R21" s="153">
        <v>0</v>
      </c>
      <c r="S21" s="153">
        <v>16515514.210000001</v>
      </c>
      <c r="T21" s="153">
        <v>0</v>
      </c>
      <c r="U21" s="153">
        <v>0</v>
      </c>
      <c r="V21" s="153">
        <v>0</v>
      </c>
      <c r="W21" s="153">
        <v>0</v>
      </c>
    </row>
    <row r="22" spans="1:23" x14ac:dyDescent="0.25">
      <c r="A22" s="152" t="s">
        <v>318</v>
      </c>
      <c r="B22" s="152" t="s">
        <v>319</v>
      </c>
      <c r="C22" s="152" t="s">
        <v>320</v>
      </c>
      <c r="D22" s="153">
        <v>3</v>
      </c>
      <c r="E22" s="153">
        <v>1259998</v>
      </c>
      <c r="F22" s="153">
        <v>603798</v>
      </c>
      <c r="G22" s="153">
        <v>0</v>
      </c>
      <c r="H22" s="153">
        <v>603798</v>
      </c>
      <c r="I22" s="153">
        <v>0</v>
      </c>
      <c r="J22" s="153">
        <v>0</v>
      </c>
      <c r="K22" s="153">
        <v>0</v>
      </c>
      <c r="L22" s="153">
        <v>0</v>
      </c>
      <c r="M22" s="153">
        <v>0</v>
      </c>
      <c r="N22" s="153">
        <v>0</v>
      </c>
      <c r="O22" s="153">
        <v>0</v>
      </c>
      <c r="P22" s="153">
        <v>0</v>
      </c>
      <c r="Q22" s="153">
        <v>0</v>
      </c>
      <c r="R22" s="153">
        <v>0</v>
      </c>
      <c r="S22" s="153">
        <v>603798</v>
      </c>
      <c r="T22" s="153">
        <v>0</v>
      </c>
      <c r="U22" s="153">
        <v>0</v>
      </c>
      <c r="V22" s="153">
        <v>0</v>
      </c>
      <c r="W22" s="153">
        <v>0</v>
      </c>
    </row>
    <row r="23" spans="1:23" x14ac:dyDescent="0.25">
      <c r="A23" s="152" t="s">
        <v>321</v>
      </c>
      <c r="B23" s="152" t="s">
        <v>322</v>
      </c>
      <c r="C23" s="152" t="s">
        <v>317</v>
      </c>
      <c r="D23" s="153">
        <v>3</v>
      </c>
      <c r="E23" s="153">
        <v>422130</v>
      </c>
      <c r="F23" s="153">
        <v>422130</v>
      </c>
      <c r="G23" s="153">
        <v>0</v>
      </c>
      <c r="H23" s="153">
        <v>422130</v>
      </c>
      <c r="I23" s="153">
        <v>0</v>
      </c>
      <c r="J23" s="153">
        <v>0</v>
      </c>
      <c r="K23" s="153">
        <v>0</v>
      </c>
      <c r="L23" s="153">
        <v>0</v>
      </c>
      <c r="M23" s="153">
        <v>0</v>
      </c>
      <c r="N23" s="153">
        <v>0</v>
      </c>
      <c r="O23" s="153">
        <v>0</v>
      </c>
      <c r="P23" s="153">
        <v>0</v>
      </c>
      <c r="Q23" s="153">
        <v>0</v>
      </c>
      <c r="R23" s="153">
        <v>0</v>
      </c>
      <c r="S23" s="153">
        <v>422130</v>
      </c>
      <c r="T23" s="153">
        <v>0</v>
      </c>
      <c r="U23" s="153">
        <v>0</v>
      </c>
      <c r="V23" s="153">
        <v>0</v>
      </c>
      <c r="W23" s="153">
        <v>0</v>
      </c>
    </row>
    <row r="24" spans="1:23" x14ac:dyDescent="0.25">
      <c r="A24" s="152" t="s">
        <v>323</v>
      </c>
      <c r="B24" s="152" t="s">
        <v>324</v>
      </c>
      <c r="C24" s="152" t="s">
        <v>317</v>
      </c>
      <c r="D24" s="153">
        <v>3</v>
      </c>
      <c r="E24" s="153">
        <v>172800</v>
      </c>
      <c r="F24" s="153">
        <v>172800</v>
      </c>
      <c r="G24" s="153">
        <v>0</v>
      </c>
      <c r="H24" s="153">
        <v>172800</v>
      </c>
      <c r="I24" s="153">
        <v>0</v>
      </c>
      <c r="J24" s="153">
        <v>0</v>
      </c>
      <c r="K24" s="153">
        <v>0</v>
      </c>
      <c r="L24" s="153">
        <v>0</v>
      </c>
      <c r="M24" s="153">
        <v>0</v>
      </c>
      <c r="N24" s="153">
        <v>0</v>
      </c>
      <c r="O24" s="153">
        <v>0</v>
      </c>
      <c r="P24" s="153">
        <v>0</v>
      </c>
      <c r="Q24" s="153">
        <v>0</v>
      </c>
      <c r="R24" s="153">
        <v>0</v>
      </c>
      <c r="S24" s="153">
        <v>172800</v>
      </c>
      <c r="T24" s="153">
        <v>0</v>
      </c>
      <c r="U24" s="153">
        <v>0</v>
      </c>
      <c r="V24" s="153">
        <v>0</v>
      </c>
      <c r="W24" s="153">
        <v>0</v>
      </c>
    </row>
  </sheetData>
  <pageMargins left="0.7" right="0.7" top="0.75" bottom="0.75" header="0.3" footer="0.3"/>
  <pageSetup paperSize="9" scale="1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75AA-AC36-432C-9CA4-E747258AE1A0}">
  <sheetPr>
    <tabColor theme="7"/>
  </sheetPr>
  <dimension ref="A1:AH36"/>
  <sheetViews>
    <sheetView zoomScale="55" zoomScaleNormal="55" workbookViewId="0">
      <selection activeCell="AO26" sqref="AO26"/>
    </sheetView>
  </sheetViews>
  <sheetFormatPr defaultColWidth="8.69921875" defaultRowHeight="18" x14ac:dyDescent="0.25"/>
  <cols>
    <col min="1" max="1" width="3.3984375" style="94" bestFit="1" customWidth="1"/>
    <col min="2" max="2" width="39.69921875" style="94" bestFit="1" customWidth="1"/>
    <col min="3" max="3" width="14.69921875" style="94" customWidth="1"/>
    <col min="4" max="31" width="2.69921875" style="94" customWidth="1"/>
    <col min="32" max="32" width="13.5" style="94" customWidth="1"/>
    <col min="33" max="16384" width="8.69921875" style="94"/>
  </cols>
  <sheetData>
    <row r="1" spans="1:34" ht="25.95" customHeight="1" thickBot="1" x14ac:dyDescent="0.3">
      <c r="A1" s="195" t="s">
        <v>190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</row>
    <row r="2" spans="1:34" x14ac:dyDescent="0.25">
      <c r="A2" s="196" t="s">
        <v>1</v>
      </c>
      <c r="B2" s="198" t="s">
        <v>191</v>
      </c>
      <c r="C2" s="200" t="s">
        <v>192</v>
      </c>
      <c r="D2" s="202" t="s">
        <v>12</v>
      </c>
      <c r="E2" s="203"/>
      <c r="F2" s="203"/>
      <c r="G2" s="204"/>
      <c r="H2" s="202" t="s">
        <v>13</v>
      </c>
      <c r="I2" s="203"/>
      <c r="J2" s="203"/>
      <c r="K2" s="204"/>
      <c r="L2" s="202" t="s">
        <v>14</v>
      </c>
      <c r="M2" s="203"/>
      <c r="N2" s="203"/>
      <c r="O2" s="204"/>
      <c r="P2" s="202" t="s">
        <v>15</v>
      </c>
      <c r="Q2" s="203"/>
      <c r="R2" s="203"/>
      <c r="S2" s="204"/>
      <c r="T2" s="202" t="s">
        <v>16</v>
      </c>
      <c r="U2" s="203"/>
      <c r="V2" s="203"/>
      <c r="W2" s="204"/>
      <c r="X2" s="202" t="s">
        <v>17</v>
      </c>
      <c r="Y2" s="203"/>
      <c r="Z2" s="203"/>
      <c r="AA2" s="204"/>
      <c r="AB2" s="205" t="s">
        <v>18</v>
      </c>
      <c r="AC2" s="203"/>
      <c r="AD2" s="203"/>
      <c r="AE2" s="204"/>
      <c r="AF2" s="196" t="s">
        <v>193</v>
      </c>
      <c r="AG2" s="196" t="s">
        <v>194</v>
      </c>
      <c r="AH2" s="196" t="s">
        <v>195</v>
      </c>
    </row>
    <row r="3" spans="1:34" ht="18.600000000000001" thickBot="1" x14ac:dyDescent="0.3">
      <c r="A3" s="197"/>
      <c r="B3" s="199"/>
      <c r="C3" s="201"/>
      <c r="D3" s="95">
        <v>1</v>
      </c>
      <c r="E3" s="96">
        <v>2</v>
      </c>
      <c r="F3" s="96">
        <v>3</v>
      </c>
      <c r="G3" s="97">
        <v>4</v>
      </c>
      <c r="H3" s="95">
        <v>1</v>
      </c>
      <c r="I3" s="96">
        <v>2</v>
      </c>
      <c r="J3" s="96">
        <v>3</v>
      </c>
      <c r="K3" s="97">
        <v>4</v>
      </c>
      <c r="L3" s="95">
        <v>1</v>
      </c>
      <c r="M3" s="96">
        <v>2</v>
      </c>
      <c r="N3" s="96">
        <v>3</v>
      </c>
      <c r="O3" s="97">
        <v>4</v>
      </c>
      <c r="P3" s="95">
        <v>1</v>
      </c>
      <c r="Q3" s="96">
        <v>2</v>
      </c>
      <c r="R3" s="96">
        <v>3</v>
      </c>
      <c r="S3" s="97">
        <v>4</v>
      </c>
      <c r="T3" s="95">
        <v>1</v>
      </c>
      <c r="U3" s="96">
        <v>2</v>
      </c>
      <c r="V3" s="96">
        <v>3</v>
      </c>
      <c r="W3" s="97">
        <v>4</v>
      </c>
      <c r="X3" s="95">
        <v>1</v>
      </c>
      <c r="Y3" s="96">
        <v>2</v>
      </c>
      <c r="Z3" s="96">
        <v>3</v>
      </c>
      <c r="AA3" s="97">
        <v>4</v>
      </c>
      <c r="AB3" s="98">
        <v>1</v>
      </c>
      <c r="AC3" s="96">
        <v>2</v>
      </c>
      <c r="AD3" s="96">
        <v>3</v>
      </c>
      <c r="AE3" s="97">
        <v>4</v>
      </c>
      <c r="AF3" s="197"/>
      <c r="AG3" s="197"/>
      <c r="AH3" s="197"/>
    </row>
    <row r="4" spans="1:34" x14ac:dyDescent="0.25">
      <c r="A4" s="206">
        <v>1</v>
      </c>
      <c r="B4" s="208" t="s">
        <v>196</v>
      </c>
      <c r="C4" s="99" t="s">
        <v>197</v>
      </c>
      <c r="D4" s="100"/>
      <c r="E4" s="101"/>
      <c r="F4" s="101"/>
      <c r="G4" s="102"/>
      <c r="H4" s="103"/>
      <c r="I4" s="104"/>
      <c r="J4" s="104"/>
      <c r="K4" s="105"/>
      <c r="L4" s="100"/>
      <c r="M4" s="101"/>
      <c r="N4" s="101"/>
      <c r="O4" s="102"/>
      <c r="P4" s="100"/>
      <c r="Q4" s="101"/>
      <c r="R4" s="101"/>
      <c r="S4" s="102"/>
      <c r="T4" s="100"/>
      <c r="U4" s="101"/>
      <c r="V4" s="101"/>
      <c r="W4" s="102"/>
      <c r="X4" s="100"/>
      <c r="Y4" s="101"/>
      <c r="Z4" s="101"/>
      <c r="AA4" s="102"/>
      <c r="AB4" s="106"/>
      <c r="AC4" s="101"/>
      <c r="AD4" s="101"/>
      <c r="AE4" s="102"/>
      <c r="AF4" s="206">
        <v>100</v>
      </c>
      <c r="AG4" s="206">
        <v>0.1</v>
      </c>
      <c r="AH4" s="206">
        <f>AF4*AG4</f>
        <v>10</v>
      </c>
    </row>
    <row r="5" spans="1:34" ht="18.600000000000001" thickBot="1" x14ac:dyDescent="0.3">
      <c r="A5" s="207"/>
      <c r="B5" s="209"/>
      <c r="C5" s="107" t="s">
        <v>193</v>
      </c>
      <c r="D5" s="108"/>
      <c r="E5" s="109"/>
      <c r="F5" s="109"/>
      <c r="G5" s="110"/>
      <c r="H5" s="155"/>
      <c r="I5" s="156"/>
      <c r="J5" s="156"/>
      <c r="K5" s="154"/>
      <c r="L5" s="108"/>
      <c r="M5" s="109"/>
      <c r="N5" s="109"/>
      <c r="O5" s="110"/>
      <c r="P5" s="108"/>
      <c r="Q5" s="109"/>
      <c r="R5" s="109"/>
      <c r="S5" s="110"/>
      <c r="T5" s="108"/>
      <c r="U5" s="109"/>
      <c r="V5" s="109"/>
      <c r="W5" s="110"/>
      <c r="X5" s="108"/>
      <c r="Y5" s="109"/>
      <c r="Z5" s="109"/>
      <c r="AA5" s="110"/>
      <c r="AB5" s="111"/>
      <c r="AC5" s="109"/>
      <c r="AD5" s="109"/>
      <c r="AE5" s="110"/>
      <c r="AF5" s="207"/>
      <c r="AG5" s="207"/>
      <c r="AH5" s="207"/>
    </row>
    <row r="6" spans="1:34" x14ac:dyDescent="0.25">
      <c r="A6" s="206">
        <v>2</v>
      </c>
      <c r="B6" s="208" t="s">
        <v>198</v>
      </c>
      <c r="C6" s="99" t="s">
        <v>197</v>
      </c>
      <c r="D6" s="100"/>
      <c r="E6" s="101"/>
      <c r="F6" s="101"/>
      <c r="G6" s="105"/>
      <c r="H6" s="103"/>
      <c r="I6" s="101"/>
      <c r="J6" s="101"/>
      <c r="K6" s="102"/>
      <c r="L6" s="100"/>
      <c r="M6" s="101"/>
      <c r="N6" s="101"/>
      <c r="O6" s="102"/>
      <c r="P6" s="100"/>
      <c r="Q6" s="101"/>
      <c r="R6" s="101"/>
      <c r="S6" s="102"/>
      <c r="T6" s="100"/>
      <c r="U6" s="101"/>
      <c r="V6" s="101"/>
      <c r="W6" s="102"/>
      <c r="X6" s="100"/>
      <c r="Y6" s="101"/>
      <c r="Z6" s="101"/>
      <c r="AA6" s="102"/>
      <c r="AB6" s="106"/>
      <c r="AC6" s="101"/>
      <c r="AD6" s="101"/>
      <c r="AE6" s="102"/>
      <c r="AF6" s="206">
        <v>100</v>
      </c>
      <c r="AG6" s="206">
        <v>0.05</v>
      </c>
      <c r="AH6" s="206">
        <f t="shared" ref="AH6" si="0">AF6*AG6</f>
        <v>5</v>
      </c>
    </row>
    <row r="7" spans="1:34" ht="18.600000000000001" thickBot="1" x14ac:dyDescent="0.3">
      <c r="A7" s="207"/>
      <c r="B7" s="209"/>
      <c r="C7" s="107" t="s">
        <v>193</v>
      </c>
      <c r="D7" s="108"/>
      <c r="E7" s="109"/>
      <c r="F7" s="109"/>
      <c r="G7" s="154"/>
      <c r="H7" s="155"/>
      <c r="I7" s="156"/>
      <c r="J7" s="156"/>
      <c r="K7" s="154"/>
      <c r="L7" s="108"/>
      <c r="M7" s="109"/>
      <c r="N7" s="109"/>
      <c r="O7" s="110"/>
      <c r="P7" s="108"/>
      <c r="Q7" s="109"/>
      <c r="R7" s="109"/>
      <c r="S7" s="110"/>
      <c r="T7" s="108"/>
      <c r="U7" s="109"/>
      <c r="V7" s="109"/>
      <c r="W7" s="110"/>
      <c r="X7" s="108"/>
      <c r="Y7" s="109"/>
      <c r="Z7" s="109"/>
      <c r="AA7" s="110"/>
      <c r="AB7" s="111"/>
      <c r="AC7" s="109"/>
      <c r="AD7" s="109"/>
      <c r="AE7" s="110"/>
      <c r="AF7" s="207"/>
      <c r="AG7" s="207"/>
      <c r="AH7" s="207"/>
    </row>
    <row r="8" spans="1:34" x14ac:dyDescent="0.25">
      <c r="A8" s="206">
        <v>3</v>
      </c>
      <c r="B8" s="208" t="s">
        <v>199</v>
      </c>
      <c r="C8" s="99" t="s">
        <v>197</v>
      </c>
      <c r="D8" s="100"/>
      <c r="E8" s="101"/>
      <c r="F8" s="101"/>
      <c r="G8" s="102"/>
      <c r="H8" s="100"/>
      <c r="I8" s="101"/>
      <c r="J8" s="104"/>
      <c r="K8" s="105"/>
      <c r="L8" s="100"/>
      <c r="M8" s="101"/>
      <c r="N8" s="101"/>
      <c r="O8" s="102"/>
      <c r="P8" s="100"/>
      <c r="Q8" s="101"/>
      <c r="R8" s="101"/>
      <c r="S8" s="102"/>
      <c r="T8" s="100"/>
      <c r="U8" s="101"/>
      <c r="V8" s="101"/>
      <c r="W8" s="102"/>
      <c r="X8" s="100"/>
      <c r="Y8" s="101"/>
      <c r="Z8" s="101"/>
      <c r="AA8" s="102"/>
      <c r="AB8" s="106"/>
      <c r="AC8" s="101"/>
      <c r="AD8" s="101"/>
      <c r="AE8" s="102"/>
      <c r="AF8" s="206">
        <v>100</v>
      </c>
      <c r="AG8" s="206">
        <v>0.05</v>
      </c>
      <c r="AH8" s="206">
        <f t="shared" ref="AH8" si="1">AF8*AG8</f>
        <v>5</v>
      </c>
    </row>
    <row r="9" spans="1:34" ht="18.600000000000001" thickBot="1" x14ac:dyDescent="0.3">
      <c r="A9" s="207"/>
      <c r="B9" s="209"/>
      <c r="C9" s="107" t="s">
        <v>193</v>
      </c>
      <c r="D9" s="108"/>
      <c r="E9" s="109"/>
      <c r="F9" s="109"/>
      <c r="G9" s="110"/>
      <c r="H9" s="108"/>
      <c r="I9" s="109"/>
      <c r="J9" s="156"/>
      <c r="K9" s="154"/>
      <c r="L9" s="155"/>
      <c r="M9" s="109"/>
      <c r="N9" s="109"/>
      <c r="O9" s="110"/>
      <c r="P9" s="108"/>
      <c r="Q9" s="109"/>
      <c r="R9" s="109"/>
      <c r="S9" s="110"/>
      <c r="T9" s="108"/>
      <c r="U9" s="109"/>
      <c r="V9" s="109"/>
      <c r="W9" s="110"/>
      <c r="X9" s="108"/>
      <c r="Y9" s="109"/>
      <c r="Z9" s="109"/>
      <c r="AA9" s="110"/>
      <c r="AB9" s="111"/>
      <c r="AC9" s="109"/>
      <c r="AD9" s="109"/>
      <c r="AE9" s="110"/>
      <c r="AF9" s="207"/>
      <c r="AG9" s="207"/>
      <c r="AH9" s="207"/>
    </row>
    <row r="10" spans="1:34" x14ac:dyDescent="0.25">
      <c r="A10" s="206">
        <v>4</v>
      </c>
      <c r="B10" s="208" t="s">
        <v>200</v>
      </c>
      <c r="C10" s="99" t="s">
        <v>197</v>
      </c>
      <c r="D10" s="100"/>
      <c r="E10" s="101"/>
      <c r="F10" s="101"/>
      <c r="G10" s="102"/>
      <c r="H10" s="100"/>
      <c r="I10" s="101"/>
      <c r="J10" s="104"/>
      <c r="K10" s="105"/>
      <c r="L10" s="100"/>
      <c r="M10" s="101"/>
      <c r="N10" s="101"/>
      <c r="O10" s="102"/>
      <c r="P10" s="100"/>
      <c r="Q10" s="101"/>
      <c r="R10" s="101"/>
      <c r="S10" s="102"/>
      <c r="T10" s="100"/>
      <c r="U10" s="101"/>
      <c r="V10" s="101"/>
      <c r="W10" s="102"/>
      <c r="X10" s="100"/>
      <c r="Y10" s="101"/>
      <c r="Z10" s="101"/>
      <c r="AA10" s="102"/>
      <c r="AB10" s="106"/>
      <c r="AC10" s="101"/>
      <c r="AD10" s="101"/>
      <c r="AE10" s="102"/>
      <c r="AF10" s="206">
        <v>100</v>
      </c>
      <c r="AG10" s="206">
        <v>0.05</v>
      </c>
      <c r="AH10" s="206">
        <f t="shared" ref="AH10" si="2">AF10*AG10</f>
        <v>5</v>
      </c>
    </row>
    <row r="11" spans="1:34" ht="18.600000000000001" thickBot="1" x14ac:dyDescent="0.3">
      <c r="A11" s="207"/>
      <c r="B11" s="209"/>
      <c r="C11" s="107" t="s">
        <v>193</v>
      </c>
      <c r="D11" s="108"/>
      <c r="E11" s="109"/>
      <c r="F11" s="109"/>
      <c r="G11" s="110"/>
      <c r="H11" s="108"/>
      <c r="I11" s="109"/>
      <c r="J11" s="109"/>
      <c r="K11" s="110"/>
      <c r="L11" s="108"/>
      <c r="M11" s="156"/>
      <c r="N11" s="156"/>
      <c r="O11" s="154"/>
      <c r="P11" s="108"/>
      <c r="Q11" s="109"/>
      <c r="R11" s="109"/>
      <c r="S11" s="110"/>
      <c r="T11" s="108"/>
      <c r="U11" s="109"/>
      <c r="V11" s="109"/>
      <c r="W11" s="110"/>
      <c r="X11" s="108"/>
      <c r="Y11" s="109"/>
      <c r="Z11" s="109"/>
      <c r="AA11" s="110"/>
      <c r="AB11" s="111"/>
      <c r="AC11" s="109"/>
      <c r="AD11" s="109"/>
      <c r="AE11" s="110"/>
      <c r="AF11" s="207"/>
      <c r="AG11" s="207"/>
      <c r="AH11" s="207"/>
    </row>
    <row r="12" spans="1:34" x14ac:dyDescent="0.25">
      <c r="A12" s="206">
        <v>5</v>
      </c>
      <c r="B12" s="208" t="s">
        <v>201</v>
      </c>
      <c r="C12" s="99" t="s">
        <v>197</v>
      </c>
      <c r="D12" s="100"/>
      <c r="E12" s="101"/>
      <c r="F12" s="101"/>
      <c r="G12" s="102"/>
      <c r="H12" s="100"/>
      <c r="I12" s="101"/>
      <c r="J12" s="101"/>
      <c r="K12" s="102"/>
      <c r="L12" s="103"/>
      <c r="M12" s="104"/>
      <c r="N12" s="101"/>
      <c r="O12" s="102"/>
      <c r="P12" s="100"/>
      <c r="Q12" s="101"/>
      <c r="R12" s="101"/>
      <c r="S12" s="102"/>
      <c r="T12" s="100"/>
      <c r="U12" s="101"/>
      <c r="V12" s="101"/>
      <c r="W12" s="102"/>
      <c r="X12" s="100"/>
      <c r="Y12" s="101"/>
      <c r="Z12" s="101"/>
      <c r="AA12" s="102"/>
      <c r="AB12" s="106"/>
      <c r="AC12" s="101"/>
      <c r="AD12" s="101"/>
      <c r="AE12" s="102"/>
      <c r="AF12" s="206">
        <v>60</v>
      </c>
      <c r="AG12" s="206">
        <v>0.05</v>
      </c>
      <c r="AH12" s="206">
        <f t="shared" ref="AH12" si="3">AF12*AG12</f>
        <v>3</v>
      </c>
    </row>
    <row r="13" spans="1:34" ht="18.600000000000001" thickBot="1" x14ac:dyDescent="0.3">
      <c r="A13" s="207"/>
      <c r="B13" s="209"/>
      <c r="C13" s="107" t="s">
        <v>193</v>
      </c>
      <c r="D13" s="108"/>
      <c r="E13" s="109"/>
      <c r="F13" s="109"/>
      <c r="G13" s="110"/>
      <c r="H13" s="108"/>
      <c r="I13" s="109"/>
      <c r="J13" s="109"/>
      <c r="K13" s="110"/>
      <c r="L13" s="108"/>
      <c r="M13" s="109"/>
      <c r="N13" s="156"/>
      <c r="O13" s="154"/>
      <c r="P13" s="108"/>
      <c r="Q13" s="109"/>
      <c r="R13" s="109"/>
      <c r="S13" s="110"/>
      <c r="T13" s="108"/>
      <c r="U13" s="109"/>
      <c r="V13" s="109"/>
      <c r="W13" s="110"/>
      <c r="X13" s="108"/>
      <c r="Y13" s="109"/>
      <c r="Z13" s="109"/>
      <c r="AA13" s="110"/>
      <c r="AB13" s="111"/>
      <c r="AC13" s="109"/>
      <c r="AD13" s="109"/>
      <c r="AE13" s="110"/>
      <c r="AF13" s="207"/>
      <c r="AG13" s="207"/>
      <c r="AH13" s="207"/>
    </row>
    <row r="14" spans="1:34" x14ac:dyDescent="0.25">
      <c r="A14" s="206">
        <v>6</v>
      </c>
      <c r="B14" s="208" t="s">
        <v>202</v>
      </c>
      <c r="C14" s="99" t="s">
        <v>197</v>
      </c>
      <c r="D14" s="100"/>
      <c r="E14" s="101"/>
      <c r="F14" s="101"/>
      <c r="G14" s="102"/>
      <c r="H14" s="100"/>
      <c r="I14" s="101"/>
      <c r="J14" s="101"/>
      <c r="K14" s="102"/>
      <c r="L14" s="100"/>
      <c r="M14" s="101"/>
      <c r="N14" s="104"/>
      <c r="O14" s="105"/>
      <c r="P14" s="100"/>
      <c r="Q14" s="101"/>
      <c r="R14" s="101"/>
      <c r="S14" s="102"/>
      <c r="T14" s="100"/>
      <c r="U14" s="101"/>
      <c r="V14" s="101"/>
      <c r="W14" s="102"/>
      <c r="X14" s="100"/>
      <c r="Y14" s="101"/>
      <c r="Z14" s="101"/>
      <c r="AA14" s="102"/>
      <c r="AB14" s="106"/>
      <c r="AC14" s="101"/>
      <c r="AD14" s="101"/>
      <c r="AE14" s="102"/>
      <c r="AF14" s="206"/>
      <c r="AG14" s="206">
        <v>0.05</v>
      </c>
      <c r="AH14" s="206">
        <f t="shared" ref="AH14" si="4">AF14*AG14</f>
        <v>0</v>
      </c>
    </row>
    <row r="15" spans="1:34" ht="18.600000000000001" thickBot="1" x14ac:dyDescent="0.3">
      <c r="A15" s="207"/>
      <c r="B15" s="209"/>
      <c r="C15" s="107" t="s">
        <v>193</v>
      </c>
      <c r="D15" s="108"/>
      <c r="E15" s="109"/>
      <c r="F15" s="109"/>
      <c r="G15" s="110"/>
      <c r="H15" s="108"/>
      <c r="I15" s="109"/>
      <c r="J15" s="109"/>
      <c r="K15" s="110"/>
      <c r="L15" s="108"/>
      <c r="M15" s="109"/>
      <c r="N15" s="109"/>
      <c r="O15" s="110"/>
      <c r="P15" s="108"/>
      <c r="Q15" s="109"/>
      <c r="R15" s="109"/>
      <c r="S15" s="110"/>
      <c r="T15" s="108"/>
      <c r="U15" s="109"/>
      <c r="V15" s="109"/>
      <c r="W15" s="110"/>
      <c r="X15" s="108"/>
      <c r="Y15" s="109"/>
      <c r="Z15" s="109"/>
      <c r="AA15" s="110"/>
      <c r="AB15" s="111"/>
      <c r="AC15" s="109"/>
      <c r="AD15" s="109"/>
      <c r="AE15" s="110"/>
      <c r="AF15" s="207"/>
      <c r="AG15" s="207"/>
      <c r="AH15" s="207"/>
    </row>
    <row r="16" spans="1:34" x14ac:dyDescent="0.25">
      <c r="A16" s="206">
        <v>7</v>
      </c>
      <c r="B16" s="208" t="s">
        <v>203</v>
      </c>
      <c r="C16" s="99" t="s">
        <v>197</v>
      </c>
      <c r="D16" s="100"/>
      <c r="E16" s="101"/>
      <c r="F16" s="101"/>
      <c r="G16" s="102"/>
      <c r="H16" s="100"/>
      <c r="I16" s="101"/>
      <c r="J16" s="101"/>
      <c r="K16" s="102"/>
      <c r="L16" s="100"/>
      <c r="M16" s="101"/>
      <c r="N16" s="101"/>
      <c r="O16" s="102"/>
      <c r="P16" s="103"/>
      <c r="Q16" s="101"/>
      <c r="R16" s="101"/>
      <c r="S16" s="102"/>
      <c r="T16" s="100"/>
      <c r="U16" s="101"/>
      <c r="V16" s="101"/>
      <c r="W16" s="102"/>
      <c r="X16" s="100"/>
      <c r="Y16" s="101"/>
      <c r="Z16" s="101"/>
      <c r="AA16" s="102"/>
      <c r="AB16" s="106"/>
      <c r="AC16" s="101"/>
      <c r="AD16" s="101"/>
      <c r="AE16" s="102"/>
      <c r="AF16" s="206"/>
      <c r="AG16" s="206">
        <v>0.05</v>
      </c>
      <c r="AH16" s="206">
        <f t="shared" ref="AH16" si="5">AF16*AG16</f>
        <v>0</v>
      </c>
    </row>
    <row r="17" spans="1:34" ht="18.600000000000001" thickBot="1" x14ac:dyDescent="0.3">
      <c r="A17" s="207"/>
      <c r="B17" s="209"/>
      <c r="C17" s="107" t="s">
        <v>193</v>
      </c>
      <c r="D17" s="108"/>
      <c r="E17" s="109"/>
      <c r="F17" s="109"/>
      <c r="G17" s="110"/>
      <c r="H17" s="108"/>
      <c r="I17" s="109"/>
      <c r="J17" s="109"/>
      <c r="K17" s="110"/>
      <c r="L17" s="108"/>
      <c r="M17" s="109"/>
      <c r="N17" s="109"/>
      <c r="O17" s="110"/>
      <c r="P17" s="108"/>
      <c r="Q17" s="109"/>
      <c r="R17" s="109"/>
      <c r="S17" s="110"/>
      <c r="T17" s="108"/>
      <c r="U17" s="109"/>
      <c r="V17" s="109"/>
      <c r="W17" s="110"/>
      <c r="X17" s="108"/>
      <c r="Y17" s="109"/>
      <c r="Z17" s="109"/>
      <c r="AA17" s="110"/>
      <c r="AB17" s="111"/>
      <c r="AC17" s="109"/>
      <c r="AD17" s="109"/>
      <c r="AE17" s="110"/>
      <c r="AF17" s="207"/>
      <c r="AG17" s="207"/>
      <c r="AH17" s="207"/>
    </row>
    <row r="18" spans="1:34" x14ac:dyDescent="0.25">
      <c r="A18" s="206">
        <v>8</v>
      </c>
      <c r="B18" s="208" t="s">
        <v>204</v>
      </c>
      <c r="C18" s="99" t="s">
        <v>197</v>
      </c>
      <c r="D18" s="100"/>
      <c r="E18" s="101"/>
      <c r="F18" s="101"/>
      <c r="G18" s="102"/>
      <c r="H18" s="100"/>
      <c r="I18" s="101"/>
      <c r="J18" s="101"/>
      <c r="K18" s="102"/>
      <c r="L18" s="100"/>
      <c r="M18" s="101"/>
      <c r="N18" s="101"/>
      <c r="O18" s="102"/>
      <c r="P18" s="100"/>
      <c r="Q18" s="104"/>
      <c r="R18" s="101"/>
      <c r="S18" s="102"/>
      <c r="T18" s="100"/>
      <c r="U18" s="101"/>
      <c r="V18" s="101"/>
      <c r="W18" s="102"/>
      <c r="X18" s="100"/>
      <c r="Y18" s="101"/>
      <c r="Z18" s="101"/>
      <c r="AA18" s="102"/>
      <c r="AB18" s="106"/>
      <c r="AC18" s="101"/>
      <c r="AD18" s="101"/>
      <c r="AE18" s="102"/>
      <c r="AF18" s="206"/>
      <c r="AG18" s="206">
        <v>0.05</v>
      </c>
      <c r="AH18" s="206">
        <f t="shared" ref="AH18" si="6">AF18*AG18</f>
        <v>0</v>
      </c>
    </row>
    <row r="19" spans="1:34" ht="18.600000000000001" thickBot="1" x14ac:dyDescent="0.3">
      <c r="A19" s="207"/>
      <c r="B19" s="209"/>
      <c r="C19" s="107" t="s">
        <v>193</v>
      </c>
      <c r="D19" s="108"/>
      <c r="E19" s="109"/>
      <c r="F19" s="109"/>
      <c r="G19" s="110"/>
      <c r="H19" s="108"/>
      <c r="I19" s="109"/>
      <c r="J19" s="109"/>
      <c r="K19" s="110"/>
      <c r="L19" s="108"/>
      <c r="M19" s="109"/>
      <c r="N19" s="109"/>
      <c r="O19" s="110"/>
      <c r="P19" s="108"/>
      <c r="Q19" s="109"/>
      <c r="R19" s="109"/>
      <c r="S19" s="110"/>
      <c r="T19" s="108"/>
      <c r="U19" s="109"/>
      <c r="V19" s="109"/>
      <c r="W19" s="110"/>
      <c r="X19" s="108"/>
      <c r="Y19" s="109"/>
      <c r="Z19" s="109"/>
      <c r="AA19" s="110"/>
      <c r="AB19" s="111"/>
      <c r="AC19" s="109"/>
      <c r="AD19" s="109"/>
      <c r="AE19" s="110"/>
      <c r="AF19" s="207"/>
      <c r="AG19" s="207"/>
      <c r="AH19" s="207"/>
    </row>
    <row r="20" spans="1:34" x14ac:dyDescent="0.25">
      <c r="A20" s="206">
        <v>9</v>
      </c>
      <c r="B20" s="208" t="s">
        <v>205</v>
      </c>
      <c r="C20" s="99" t="s">
        <v>197</v>
      </c>
      <c r="D20" s="100"/>
      <c r="E20" s="101"/>
      <c r="F20" s="101"/>
      <c r="G20" s="102"/>
      <c r="H20" s="100"/>
      <c r="I20" s="101"/>
      <c r="J20" s="101"/>
      <c r="K20" s="102"/>
      <c r="L20" s="100"/>
      <c r="M20" s="101"/>
      <c r="N20" s="101"/>
      <c r="O20" s="102"/>
      <c r="P20" s="100"/>
      <c r="Q20" s="101"/>
      <c r="R20" s="104"/>
      <c r="S20" s="105"/>
      <c r="T20" s="100"/>
      <c r="U20" s="101"/>
      <c r="V20" s="101"/>
      <c r="W20" s="102"/>
      <c r="X20" s="100"/>
      <c r="Y20" s="101"/>
      <c r="Z20" s="101"/>
      <c r="AA20" s="102"/>
      <c r="AB20" s="106"/>
      <c r="AC20" s="101"/>
      <c r="AD20" s="101"/>
      <c r="AE20" s="102"/>
      <c r="AF20" s="206"/>
      <c r="AG20" s="206">
        <v>0.05</v>
      </c>
      <c r="AH20" s="206">
        <f t="shared" ref="AH20" si="7">AF20*AG20</f>
        <v>0</v>
      </c>
    </row>
    <row r="21" spans="1:34" ht="18.600000000000001" thickBot="1" x14ac:dyDescent="0.3">
      <c r="A21" s="207"/>
      <c r="B21" s="209"/>
      <c r="C21" s="107" t="s">
        <v>193</v>
      </c>
      <c r="D21" s="108"/>
      <c r="E21" s="109"/>
      <c r="F21" s="109"/>
      <c r="G21" s="110"/>
      <c r="H21" s="108"/>
      <c r="I21" s="109"/>
      <c r="J21" s="109"/>
      <c r="K21" s="110"/>
      <c r="L21" s="108"/>
      <c r="M21" s="109"/>
      <c r="N21" s="109"/>
      <c r="O21" s="110"/>
      <c r="P21" s="108"/>
      <c r="Q21" s="109"/>
      <c r="R21" s="109"/>
      <c r="S21" s="110"/>
      <c r="T21" s="108"/>
      <c r="U21" s="109"/>
      <c r="V21" s="109"/>
      <c r="W21" s="110"/>
      <c r="X21" s="108"/>
      <c r="Y21" s="109"/>
      <c r="Z21" s="109"/>
      <c r="AA21" s="110"/>
      <c r="AB21" s="111"/>
      <c r="AC21" s="109"/>
      <c r="AD21" s="109"/>
      <c r="AE21" s="110"/>
      <c r="AF21" s="207"/>
      <c r="AG21" s="207"/>
      <c r="AH21" s="207"/>
    </row>
    <row r="22" spans="1:34" x14ac:dyDescent="0.25">
      <c r="A22" s="206">
        <v>10</v>
      </c>
      <c r="B22" s="208" t="s">
        <v>206</v>
      </c>
      <c r="C22" s="99" t="s">
        <v>197</v>
      </c>
      <c r="D22" s="100"/>
      <c r="E22" s="101"/>
      <c r="F22" s="101"/>
      <c r="G22" s="102"/>
      <c r="H22" s="100"/>
      <c r="I22" s="101"/>
      <c r="J22" s="101"/>
      <c r="K22" s="102"/>
      <c r="L22" s="100"/>
      <c r="M22" s="101"/>
      <c r="N22" s="101"/>
      <c r="O22" s="102"/>
      <c r="P22" s="100"/>
      <c r="Q22" s="101"/>
      <c r="R22" s="101"/>
      <c r="S22" s="102"/>
      <c r="T22" s="103"/>
      <c r="U22" s="104"/>
      <c r="V22" s="104"/>
      <c r="W22" s="102"/>
      <c r="X22" s="100"/>
      <c r="Y22" s="101"/>
      <c r="Z22" s="101"/>
      <c r="AA22" s="102"/>
      <c r="AB22" s="106"/>
      <c r="AC22" s="101"/>
      <c r="AD22" s="101"/>
      <c r="AE22" s="102"/>
      <c r="AF22" s="206"/>
      <c r="AG22" s="206">
        <v>0.1</v>
      </c>
      <c r="AH22" s="206">
        <f t="shared" ref="AH22" si="8">AF22*AG22</f>
        <v>0</v>
      </c>
    </row>
    <row r="23" spans="1:34" ht="18.600000000000001" thickBot="1" x14ac:dyDescent="0.3">
      <c r="A23" s="207"/>
      <c r="B23" s="209"/>
      <c r="C23" s="107" t="s">
        <v>193</v>
      </c>
      <c r="D23" s="108"/>
      <c r="E23" s="109"/>
      <c r="F23" s="109"/>
      <c r="G23" s="110"/>
      <c r="H23" s="108"/>
      <c r="I23" s="109"/>
      <c r="J23" s="109"/>
      <c r="K23" s="110"/>
      <c r="L23" s="108"/>
      <c r="M23" s="109"/>
      <c r="N23" s="109"/>
      <c r="O23" s="110"/>
      <c r="P23" s="108"/>
      <c r="Q23" s="109"/>
      <c r="R23" s="109"/>
      <c r="S23" s="110"/>
      <c r="T23" s="108"/>
      <c r="U23" s="109"/>
      <c r="V23" s="109"/>
      <c r="W23" s="110"/>
      <c r="X23" s="108"/>
      <c r="Y23" s="109"/>
      <c r="Z23" s="109"/>
      <c r="AA23" s="110"/>
      <c r="AB23" s="111"/>
      <c r="AC23" s="109"/>
      <c r="AD23" s="109"/>
      <c r="AE23" s="110"/>
      <c r="AF23" s="207"/>
      <c r="AG23" s="207"/>
      <c r="AH23" s="207"/>
    </row>
    <row r="24" spans="1:34" x14ac:dyDescent="0.25">
      <c r="A24" s="206">
        <v>11</v>
      </c>
      <c r="B24" s="208" t="s">
        <v>207</v>
      </c>
      <c r="C24" s="99" t="s">
        <v>197</v>
      </c>
      <c r="D24" s="100"/>
      <c r="E24" s="101"/>
      <c r="F24" s="101"/>
      <c r="G24" s="102"/>
      <c r="H24" s="100"/>
      <c r="I24" s="101"/>
      <c r="J24" s="101"/>
      <c r="K24" s="102"/>
      <c r="L24" s="100"/>
      <c r="M24" s="101"/>
      <c r="N24" s="101"/>
      <c r="O24" s="102"/>
      <c r="P24" s="100"/>
      <c r="Q24" s="101"/>
      <c r="R24" s="101"/>
      <c r="S24" s="102"/>
      <c r="T24" s="103"/>
      <c r="U24" s="104"/>
      <c r="V24" s="104"/>
      <c r="W24" s="102"/>
      <c r="X24" s="100"/>
      <c r="Y24" s="101"/>
      <c r="Z24" s="101"/>
      <c r="AA24" s="102"/>
      <c r="AB24" s="106"/>
      <c r="AC24" s="101"/>
      <c r="AD24" s="101"/>
      <c r="AE24" s="102"/>
      <c r="AF24" s="206"/>
      <c r="AG24" s="206">
        <v>0.1</v>
      </c>
      <c r="AH24" s="206">
        <f t="shared" ref="AH24:AH34" si="9">AF24*AG24</f>
        <v>0</v>
      </c>
    </row>
    <row r="25" spans="1:34" ht="18.600000000000001" thickBot="1" x14ac:dyDescent="0.3">
      <c r="A25" s="207"/>
      <c r="B25" s="209"/>
      <c r="C25" s="107" t="s">
        <v>193</v>
      </c>
      <c r="D25" s="108"/>
      <c r="E25" s="109"/>
      <c r="F25" s="109"/>
      <c r="G25" s="110"/>
      <c r="H25" s="108"/>
      <c r="I25" s="109"/>
      <c r="J25" s="109"/>
      <c r="K25" s="110"/>
      <c r="L25" s="108"/>
      <c r="M25" s="109"/>
      <c r="N25" s="109"/>
      <c r="O25" s="110"/>
      <c r="P25" s="108"/>
      <c r="Q25" s="109"/>
      <c r="R25" s="109"/>
      <c r="S25" s="110"/>
      <c r="T25" s="108"/>
      <c r="U25" s="109"/>
      <c r="V25" s="109"/>
      <c r="W25" s="110"/>
      <c r="X25" s="108"/>
      <c r="Y25" s="109"/>
      <c r="Z25" s="109"/>
      <c r="AA25" s="110"/>
      <c r="AB25" s="111"/>
      <c r="AC25" s="109"/>
      <c r="AD25" s="109"/>
      <c r="AE25" s="110"/>
      <c r="AF25" s="207"/>
      <c r="AG25" s="207"/>
      <c r="AH25" s="207"/>
    </row>
    <row r="26" spans="1:34" x14ac:dyDescent="0.25">
      <c r="A26" s="206">
        <v>12</v>
      </c>
      <c r="B26" s="208" t="s">
        <v>208</v>
      </c>
      <c r="C26" s="99" t="s">
        <v>197</v>
      </c>
      <c r="D26" s="100"/>
      <c r="E26" s="101"/>
      <c r="F26" s="101"/>
      <c r="G26" s="102"/>
      <c r="H26" s="100"/>
      <c r="I26" s="101"/>
      <c r="J26" s="101"/>
      <c r="K26" s="102"/>
      <c r="L26" s="100"/>
      <c r="M26" s="101"/>
      <c r="N26" s="101"/>
      <c r="O26" s="102"/>
      <c r="P26" s="100"/>
      <c r="Q26" s="101"/>
      <c r="R26" s="101"/>
      <c r="S26" s="102"/>
      <c r="T26" s="100"/>
      <c r="U26" s="101"/>
      <c r="V26" s="101"/>
      <c r="W26" s="105"/>
      <c r="X26" s="103"/>
      <c r="Y26" s="101"/>
      <c r="Z26" s="101"/>
      <c r="AA26" s="102"/>
      <c r="AB26" s="106"/>
      <c r="AC26" s="101"/>
      <c r="AD26" s="101"/>
      <c r="AE26" s="102"/>
      <c r="AF26" s="206"/>
      <c r="AG26" s="206">
        <v>0.1</v>
      </c>
      <c r="AH26" s="206">
        <f t="shared" si="9"/>
        <v>0</v>
      </c>
    </row>
    <row r="27" spans="1:34" ht="18.600000000000001" thickBot="1" x14ac:dyDescent="0.3">
      <c r="A27" s="207"/>
      <c r="B27" s="209"/>
      <c r="C27" s="107" t="s">
        <v>193</v>
      </c>
      <c r="D27" s="108"/>
      <c r="E27" s="109"/>
      <c r="F27" s="109"/>
      <c r="G27" s="110"/>
      <c r="H27" s="108"/>
      <c r="I27" s="109"/>
      <c r="J27" s="109"/>
      <c r="K27" s="110"/>
      <c r="L27" s="108"/>
      <c r="M27" s="109"/>
      <c r="N27" s="109"/>
      <c r="O27" s="110"/>
      <c r="P27" s="108"/>
      <c r="Q27" s="109"/>
      <c r="R27" s="109"/>
      <c r="S27" s="110"/>
      <c r="T27" s="108"/>
      <c r="U27" s="109"/>
      <c r="V27" s="109"/>
      <c r="W27" s="110"/>
      <c r="X27" s="108"/>
      <c r="Y27" s="109"/>
      <c r="Z27" s="109"/>
      <c r="AA27" s="110"/>
      <c r="AB27" s="111"/>
      <c r="AC27" s="109"/>
      <c r="AD27" s="109"/>
      <c r="AE27" s="110"/>
      <c r="AF27" s="207"/>
      <c r="AG27" s="207"/>
      <c r="AH27" s="207"/>
    </row>
    <row r="28" spans="1:34" x14ac:dyDescent="0.25">
      <c r="A28" s="206">
        <v>13</v>
      </c>
      <c r="B28" s="208" t="s">
        <v>209</v>
      </c>
      <c r="C28" s="99" t="s">
        <v>197</v>
      </c>
      <c r="D28" s="100"/>
      <c r="E28" s="101"/>
      <c r="F28" s="101"/>
      <c r="G28" s="102"/>
      <c r="H28" s="100"/>
      <c r="I28" s="101"/>
      <c r="J28" s="101"/>
      <c r="K28" s="102"/>
      <c r="L28" s="100"/>
      <c r="M28" s="101"/>
      <c r="N28" s="101"/>
      <c r="O28" s="102"/>
      <c r="P28" s="100"/>
      <c r="Q28" s="101"/>
      <c r="R28" s="101"/>
      <c r="S28" s="102"/>
      <c r="T28" s="100"/>
      <c r="U28" s="101"/>
      <c r="V28" s="101"/>
      <c r="W28" s="102"/>
      <c r="X28" s="103"/>
      <c r="Y28" s="112"/>
      <c r="Z28" s="101"/>
      <c r="AA28" s="102"/>
      <c r="AB28" s="106"/>
      <c r="AC28" s="101"/>
      <c r="AD28" s="101"/>
      <c r="AE28" s="102"/>
      <c r="AF28" s="206"/>
      <c r="AG28" s="206">
        <v>0.05</v>
      </c>
      <c r="AH28" s="206">
        <f t="shared" si="9"/>
        <v>0</v>
      </c>
    </row>
    <row r="29" spans="1:34" ht="18.600000000000001" thickBot="1" x14ac:dyDescent="0.3">
      <c r="A29" s="207"/>
      <c r="B29" s="209"/>
      <c r="C29" s="107" t="s">
        <v>193</v>
      </c>
      <c r="D29" s="108"/>
      <c r="E29" s="109"/>
      <c r="F29" s="109"/>
      <c r="G29" s="110"/>
      <c r="H29" s="108"/>
      <c r="I29" s="109"/>
      <c r="J29" s="109"/>
      <c r="K29" s="110"/>
      <c r="L29" s="108"/>
      <c r="M29" s="109"/>
      <c r="N29" s="109"/>
      <c r="O29" s="110"/>
      <c r="P29" s="108"/>
      <c r="Q29" s="109"/>
      <c r="R29" s="109"/>
      <c r="S29" s="110"/>
      <c r="T29" s="108"/>
      <c r="U29" s="109"/>
      <c r="V29" s="109"/>
      <c r="W29" s="110"/>
      <c r="X29" s="108"/>
      <c r="Y29" s="109"/>
      <c r="Z29" s="109"/>
      <c r="AA29" s="110"/>
      <c r="AB29" s="111"/>
      <c r="AC29" s="109"/>
      <c r="AD29" s="109"/>
      <c r="AE29" s="110"/>
      <c r="AF29" s="207"/>
      <c r="AG29" s="207"/>
      <c r="AH29" s="207"/>
    </row>
    <row r="30" spans="1:34" x14ac:dyDescent="0.25">
      <c r="A30" s="206">
        <v>14</v>
      </c>
      <c r="B30" s="208" t="s">
        <v>210</v>
      </c>
      <c r="C30" s="99" t="s">
        <v>197</v>
      </c>
      <c r="D30" s="100"/>
      <c r="E30" s="101"/>
      <c r="F30" s="101"/>
      <c r="G30" s="102"/>
      <c r="H30" s="100"/>
      <c r="I30" s="101"/>
      <c r="J30" s="101"/>
      <c r="K30" s="102"/>
      <c r="L30" s="100"/>
      <c r="M30" s="101"/>
      <c r="N30" s="101"/>
      <c r="O30" s="102"/>
      <c r="P30" s="100"/>
      <c r="Q30" s="101"/>
      <c r="R30" s="101"/>
      <c r="S30" s="102"/>
      <c r="T30" s="100"/>
      <c r="U30" s="101"/>
      <c r="V30" s="101"/>
      <c r="W30" s="102"/>
      <c r="X30" s="100"/>
      <c r="Y30" s="104"/>
      <c r="Z30" s="101"/>
      <c r="AA30" s="102"/>
      <c r="AB30" s="106"/>
      <c r="AC30" s="101"/>
      <c r="AD30" s="101"/>
      <c r="AE30" s="102"/>
      <c r="AF30" s="206"/>
      <c r="AG30" s="206">
        <v>0.05</v>
      </c>
      <c r="AH30" s="206">
        <f t="shared" si="9"/>
        <v>0</v>
      </c>
    </row>
    <row r="31" spans="1:34" ht="18.600000000000001" thickBot="1" x14ac:dyDescent="0.3">
      <c r="A31" s="207"/>
      <c r="B31" s="209"/>
      <c r="C31" s="107" t="s">
        <v>193</v>
      </c>
      <c r="D31" s="108"/>
      <c r="E31" s="109"/>
      <c r="F31" s="109"/>
      <c r="G31" s="110"/>
      <c r="H31" s="108"/>
      <c r="I31" s="109"/>
      <c r="J31" s="109"/>
      <c r="K31" s="110"/>
      <c r="L31" s="108"/>
      <c r="M31" s="109"/>
      <c r="N31" s="109"/>
      <c r="O31" s="110"/>
      <c r="P31" s="108"/>
      <c r="Q31" s="109"/>
      <c r="R31" s="109"/>
      <c r="S31" s="110"/>
      <c r="T31" s="108"/>
      <c r="U31" s="109"/>
      <c r="V31" s="109"/>
      <c r="W31" s="110"/>
      <c r="X31" s="108"/>
      <c r="Y31" s="109"/>
      <c r="Z31" s="109"/>
      <c r="AA31" s="110"/>
      <c r="AB31" s="111"/>
      <c r="AC31" s="109"/>
      <c r="AD31" s="109"/>
      <c r="AE31" s="110"/>
      <c r="AF31" s="207"/>
      <c r="AG31" s="207"/>
      <c r="AH31" s="207"/>
    </row>
    <row r="32" spans="1:34" x14ac:dyDescent="0.25">
      <c r="A32" s="213">
        <v>15</v>
      </c>
      <c r="B32" s="215" t="s">
        <v>211</v>
      </c>
      <c r="C32" s="113" t="s">
        <v>197</v>
      </c>
      <c r="D32" s="114"/>
      <c r="E32" s="115"/>
      <c r="F32" s="115"/>
      <c r="G32" s="116"/>
      <c r="H32" s="114"/>
      <c r="I32" s="115"/>
      <c r="J32" s="115"/>
      <c r="K32" s="116"/>
      <c r="L32" s="114"/>
      <c r="M32" s="115"/>
      <c r="N32" s="115"/>
      <c r="O32" s="116"/>
      <c r="P32" s="114"/>
      <c r="Q32" s="115"/>
      <c r="R32" s="115"/>
      <c r="S32" s="116"/>
      <c r="T32" s="114"/>
      <c r="U32" s="115"/>
      <c r="V32" s="115"/>
      <c r="W32" s="116"/>
      <c r="X32" s="114"/>
      <c r="Y32" s="115"/>
      <c r="Z32" s="117"/>
      <c r="AA32" s="118"/>
      <c r="AB32" s="119"/>
      <c r="AC32" s="115"/>
      <c r="AD32" s="115"/>
      <c r="AE32" s="116"/>
      <c r="AF32" s="213"/>
      <c r="AG32" s="213">
        <v>0.05</v>
      </c>
      <c r="AH32" s="213">
        <f t="shared" si="9"/>
        <v>0</v>
      </c>
    </row>
    <row r="33" spans="1:34" ht="18.600000000000001" thickBot="1" x14ac:dyDescent="0.3">
      <c r="A33" s="214"/>
      <c r="B33" s="216"/>
      <c r="C33" s="120" t="s">
        <v>193</v>
      </c>
      <c r="D33" s="121"/>
      <c r="E33" s="122"/>
      <c r="F33" s="122"/>
      <c r="G33" s="123"/>
      <c r="H33" s="121"/>
      <c r="I33" s="122"/>
      <c r="J33" s="122"/>
      <c r="K33" s="123"/>
      <c r="L33" s="121"/>
      <c r="M33" s="122"/>
      <c r="N33" s="122"/>
      <c r="O33" s="123"/>
      <c r="P33" s="121"/>
      <c r="Q33" s="122"/>
      <c r="R33" s="122"/>
      <c r="S33" s="123"/>
      <c r="T33" s="121"/>
      <c r="U33" s="122"/>
      <c r="V33" s="122"/>
      <c r="W33" s="123"/>
      <c r="X33" s="121"/>
      <c r="Y33" s="122"/>
      <c r="Z33" s="122"/>
      <c r="AA33" s="123"/>
      <c r="AB33" s="124"/>
      <c r="AC33" s="122"/>
      <c r="AD33" s="122"/>
      <c r="AE33" s="123"/>
      <c r="AF33" s="214"/>
      <c r="AG33" s="214"/>
      <c r="AH33" s="214"/>
    </row>
    <row r="34" spans="1:34" x14ac:dyDescent="0.25">
      <c r="A34" s="206">
        <v>16</v>
      </c>
      <c r="B34" s="208" t="s">
        <v>212</v>
      </c>
      <c r="C34" s="99" t="s">
        <v>197</v>
      </c>
      <c r="D34" s="100"/>
      <c r="E34" s="101"/>
      <c r="F34" s="101"/>
      <c r="G34" s="102"/>
      <c r="H34" s="100"/>
      <c r="I34" s="101"/>
      <c r="J34" s="101"/>
      <c r="K34" s="102"/>
      <c r="L34" s="100"/>
      <c r="M34" s="101"/>
      <c r="N34" s="101"/>
      <c r="O34" s="102"/>
      <c r="P34" s="100"/>
      <c r="Q34" s="101"/>
      <c r="R34" s="101"/>
      <c r="S34" s="102"/>
      <c r="T34" s="100"/>
      <c r="U34" s="101"/>
      <c r="V34" s="101"/>
      <c r="W34" s="102"/>
      <c r="X34" s="100"/>
      <c r="Y34" s="101"/>
      <c r="Z34" s="101"/>
      <c r="AA34" s="102"/>
      <c r="AB34" s="125"/>
      <c r="AC34" s="101"/>
      <c r="AD34" s="101"/>
      <c r="AE34" s="102"/>
      <c r="AF34" s="206"/>
      <c r="AG34" s="206">
        <v>0.05</v>
      </c>
      <c r="AH34" s="206">
        <f t="shared" si="9"/>
        <v>0</v>
      </c>
    </row>
    <row r="35" spans="1:34" ht="18.600000000000001" thickBot="1" x14ac:dyDescent="0.3">
      <c r="A35" s="207"/>
      <c r="B35" s="209"/>
      <c r="C35" s="107" t="s">
        <v>193</v>
      </c>
      <c r="D35" s="108"/>
      <c r="E35" s="109"/>
      <c r="F35" s="109"/>
      <c r="G35" s="110"/>
      <c r="H35" s="108"/>
      <c r="I35" s="109"/>
      <c r="J35" s="109"/>
      <c r="K35" s="110"/>
      <c r="L35" s="108"/>
      <c r="M35" s="109"/>
      <c r="N35" s="109"/>
      <c r="O35" s="110"/>
      <c r="P35" s="108"/>
      <c r="Q35" s="109"/>
      <c r="R35" s="109"/>
      <c r="S35" s="110"/>
      <c r="T35" s="108"/>
      <c r="U35" s="109"/>
      <c r="V35" s="109"/>
      <c r="W35" s="110"/>
      <c r="X35" s="108"/>
      <c r="Y35" s="109"/>
      <c r="Z35" s="109"/>
      <c r="AA35" s="110"/>
      <c r="AB35" s="111"/>
      <c r="AC35" s="109"/>
      <c r="AD35" s="109"/>
      <c r="AE35" s="110"/>
      <c r="AF35" s="207"/>
      <c r="AG35" s="207"/>
      <c r="AH35" s="207"/>
    </row>
    <row r="36" spans="1:34" ht="24" customHeight="1" thickBot="1" x14ac:dyDescent="0.3">
      <c r="A36" s="210" t="s">
        <v>213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2"/>
      <c r="AH36" s="126">
        <f>SUM(AH4:AH35)</f>
        <v>28</v>
      </c>
    </row>
  </sheetData>
  <mergeCells count="95">
    <mergeCell ref="AH34:AH35"/>
    <mergeCell ref="A36:AG36"/>
    <mergeCell ref="A30:A31"/>
    <mergeCell ref="B30:B31"/>
    <mergeCell ref="AF30:AF31"/>
    <mergeCell ref="AG30:AG31"/>
    <mergeCell ref="A34:A35"/>
    <mergeCell ref="B34:B35"/>
    <mergeCell ref="AF34:AF35"/>
    <mergeCell ref="AG34:AG35"/>
    <mergeCell ref="AH30:AH31"/>
    <mergeCell ref="A32:A33"/>
    <mergeCell ref="B32:B33"/>
    <mergeCell ref="AF32:AF33"/>
    <mergeCell ref="AG32:AG33"/>
    <mergeCell ref="AH32:AH33"/>
    <mergeCell ref="A26:A27"/>
    <mergeCell ref="B26:B27"/>
    <mergeCell ref="AF26:AF27"/>
    <mergeCell ref="AG26:AG27"/>
    <mergeCell ref="AH26:AH27"/>
    <mergeCell ref="A28:A29"/>
    <mergeCell ref="B28:B29"/>
    <mergeCell ref="AF28:AF29"/>
    <mergeCell ref="AG28:AG29"/>
    <mergeCell ref="AH28:AH29"/>
    <mergeCell ref="A22:A23"/>
    <mergeCell ref="B22:B23"/>
    <mergeCell ref="AF22:AF23"/>
    <mergeCell ref="AG22:AG23"/>
    <mergeCell ref="AH22:AH23"/>
    <mergeCell ref="A24:A25"/>
    <mergeCell ref="B24:B25"/>
    <mergeCell ref="AF24:AF25"/>
    <mergeCell ref="AG24:AG25"/>
    <mergeCell ref="AH24:AH25"/>
    <mergeCell ref="A18:A19"/>
    <mergeCell ref="B18:B19"/>
    <mergeCell ref="AF18:AF19"/>
    <mergeCell ref="AG18:AG19"/>
    <mergeCell ref="AH18:AH19"/>
    <mergeCell ref="A20:A21"/>
    <mergeCell ref="B20:B21"/>
    <mergeCell ref="AF20:AF21"/>
    <mergeCell ref="AG20:AG21"/>
    <mergeCell ref="AH20:AH21"/>
    <mergeCell ref="A14:A15"/>
    <mergeCell ref="B14:B15"/>
    <mergeCell ref="AF14:AF15"/>
    <mergeCell ref="AG14:AG15"/>
    <mergeCell ref="AH14:AH15"/>
    <mergeCell ref="A16:A17"/>
    <mergeCell ref="B16:B17"/>
    <mergeCell ref="AF16:AF17"/>
    <mergeCell ref="AG16:AG17"/>
    <mergeCell ref="AH16:AH17"/>
    <mergeCell ref="A10:A11"/>
    <mergeCell ref="B10:B11"/>
    <mergeCell ref="AF10:AF11"/>
    <mergeCell ref="AG10:AG11"/>
    <mergeCell ref="AH10:AH11"/>
    <mergeCell ref="A12:A13"/>
    <mergeCell ref="B12:B13"/>
    <mergeCell ref="AF12:AF13"/>
    <mergeCell ref="AG12:AG13"/>
    <mergeCell ref="AH12:AH13"/>
    <mergeCell ref="A6:A7"/>
    <mergeCell ref="B6:B7"/>
    <mergeCell ref="AF6:AF7"/>
    <mergeCell ref="AG6:AG7"/>
    <mergeCell ref="AH6:AH7"/>
    <mergeCell ref="A8:A9"/>
    <mergeCell ref="B8:B9"/>
    <mergeCell ref="AF8:AF9"/>
    <mergeCell ref="AG8:AG9"/>
    <mergeCell ref="AH8:AH9"/>
    <mergeCell ref="A4:A5"/>
    <mergeCell ref="B4:B5"/>
    <mergeCell ref="AF4:AF5"/>
    <mergeCell ref="AG4:AG5"/>
    <mergeCell ref="AH4:AH5"/>
    <mergeCell ref="A1:AH1"/>
    <mergeCell ref="A2:A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F3"/>
    <mergeCell ref="AG2:AG3"/>
    <mergeCell ref="AH2:A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6BAF-9112-4A07-8564-2D83C6517441}">
  <sheetPr>
    <tabColor theme="7"/>
  </sheetPr>
  <dimension ref="A1:AT36"/>
  <sheetViews>
    <sheetView tabSelected="1" zoomScale="70" zoomScaleNormal="70" workbookViewId="0">
      <selection activeCell="AW16" sqref="AW16"/>
    </sheetView>
  </sheetViews>
  <sheetFormatPr defaultColWidth="8.69921875" defaultRowHeight="18" x14ac:dyDescent="0.25"/>
  <cols>
    <col min="1" max="1" width="3.3984375" style="94" bestFit="1" customWidth="1"/>
    <col min="2" max="2" width="39.69921875" style="94" bestFit="1" customWidth="1"/>
    <col min="3" max="3" width="14.69921875" style="94" customWidth="1"/>
    <col min="4" max="43" width="2.69921875" style="94" customWidth="1"/>
    <col min="44" max="44" width="13.5" style="94" customWidth="1"/>
    <col min="45" max="16384" width="8.69921875" style="94"/>
  </cols>
  <sheetData>
    <row r="1" spans="1:46" ht="25.95" customHeight="1" thickBot="1" x14ac:dyDescent="0.3">
      <c r="A1" s="195" t="s">
        <v>214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</row>
    <row r="2" spans="1:46" x14ac:dyDescent="0.25">
      <c r="A2" s="196" t="s">
        <v>1</v>
      </c>
      <c r="B2" s="198" t="s">
        <v>191</v>
      </c>
      <c r="C2" s="200" t="s">
        <v>192</v>
      </c>
      <c r="D2" s="217">
        <v>25385</v>
      </c>
      <c r="E2" s="203"/>
      <c r="F2" s="203"/>
      <c r="G2" s="204"/>
      <c r="H2" s="217">
        <v>25416</v>
      </c>
      <c r="I2" s="203"/>
      <c r="J2" s="203"/>
      <c r="K2" s="204"/>
      <c r="L2" s="217">
        <v>25447</v>
      </c>
      <c r="M2" s="203"/>
      <c r="N2" s="203"/>
      <c r="O2" s="204"/>
      <c r="P2" s="217">
        <v>25477</v>
      </c>
      <c r="Q2" s="203"/>
      <c r="R2" s="203"/>
      <c r="S2" s="204"/>
      <c r="T2" s="217">
        <v>25508</v>
      </c>
      <c r="U2" s="203"/>
      <c r="V2" s="203"/>
      <c r="W2" s="204"/>
      <c r="X2" s="217">
        <v>25538</v>
      </c>
      <c r="Y2" s="203"/>
      <c r="Z2" s="203"/>
      <c r="AA2" s="204"/>
      <c r="AB2" s="219">
        <v>25569</v>
      </c>
      <c r="AC2" s="198"/>
      <c r="AD2" s="198"/>
      <c r="AE2" s="220"/>
      <c r="AF2" s="219">
        <v>25600</v>
      </c>
      <c r="AG2" s="198"/>
      <c r="AH2" s="198"/>
      <c r="AI2" s="220"/>
      <c r="AJ2" s="219">
        <v>25628</v>
      </c>
      <c r="AK2" s="198"/>
      <c r="AL2" s="198"/>
      <c r="AM2" s="220"/>
      <c r="AN2" s="219">
        <v>25659</v>
      </c>
      <c r="AO2" s="198"/>
      <c r="AP2" s="198"/>
      <c r="AQ2" s="220"/>
      <c r="AR2" s="220" t="s">
        <v>193</v>
      </c>
      <c r="AS2" s="196" t="s">
        <v>194</v>
      </c>
      <c r="AT2" s="196" t="s">
        <v>195</v>
      </c>
    </row>
    <row r="3" spans="1:46" ht="18.600000000000001" thickBot="1" x14ac:dyDescent="0.3">
      <c r="A3" s="197"/>
      <c r="B3" s="199"/>
      <c r="C3" s="201"/>
      <c r="D3" s="127">
        <v>1</v>
      </c>
      <c r="E3" s="128">
        <v>2</v>
      </c>
      <c r="F3" s="128">
        <v>3</v>
      </c>
      <c r="G3" s="129">
        <v>4</v>
      </c>
      <c r="H3" s="127">
        <v>1</v>
      </c>
      <c r="I3" s="128">
        <v>2</v>
      </c>
      <c r="J3" s="128">
        <v>3</v>
      </c>
      <c r="K3" s="129">
        <v>4</v>
      </c>
      <c r="L3" s="127">
        <v>1</v>
      </c>
      <c r="M3" s="128">
        <v>2</v>
      </c>
      <c r="N3" s="128">
        <v>3</v>
      </c>
      <c r="O3" s="129">
        <v>4</v>
      </c>
      <c r="P3" s="127">
        <v>1</v>
      </c>
      <c r="Q3" s="128">
        <v>2</v>
      </c>
      <c r="R3" s="128">
        <v>3</v>
      </c>
      <c r="S3" s="129">
        <v>4</v>
      </c>
      <c r="T3" s="127">
        <v>1</v>
      </c>
      <c r="U3" s="128">
        <v>2</v>
      </c>
      <c r="V3" s="128">
        <v>3</v>
      </c>
      <c r="W3" s="129">
        <v>4</v>
      </c>
      <c r="X3" s="127">
        <v>1</v>
      </c>
      <c r="Y3" s="128">
        <v>2</v>
      </c>
      <c r="Z3" s="128">
        <v>3</v>
      </c>
      <c r="AA3" s="129">
        <v>4</v>
      </c>
      <c r="AB3" s="127">
        <v>1</v>
      </c>
      <c r="AC3" s="128">
        <v>2</v>
      </c>
      <c r="AD3" s="128">
        <v>3</v>
      </c>
      <c r="AE3" s="129">
        <v>4</v>
      </c>
      <c r="AF3" s="127">
        <v>1</v>
      </c>
      <c r="AG3" s="128">
        <v>2</v>
      </c>
      <c r="AH3" s="128">
        <v>3</v>
      </c>
      <c r="AI3" s="129">
        <v>4</v>
      </c>
      <c r="AJ3" s="127">
        <v>1</v>
      </c>
      <c r="AK3" s="128">
        <v>2</v>
      </c>
      <c r="AL3" s="128">
        <v>3</v>
      </c>
      <c r="AM3" s="129">
        <v>4</v>
      </c>
      <c r="AN3" s="127">
        <v>1</v>
      </c>
      <c r="AO3" s="128">
        <v>2</v>
      </c>
      <c r="AP3" s="128">
        <v>3</v>
      </c>
      <c r="AQ3" s="129">
        <v>4</v>
      </c>
      <c r="AR3" s="223"/>
      <c r="AS3" s="218"/>
      <c r="AT3" s="218"/>
    </row>
    <row r="4" spans="1:46" x14ac:dyDescent="0.25">
      <c r="A4" s="206">
        <v>1</v>
      </c>
      <c r="B4" s="208" t="s">
        <v>215</v>
      </c>
      <c r="C4" s="99" t="s">
        <v>197</v>
      </c>
      <c r="D4" s="130"/>
      <c r="E4" s="112"/>
      <c r="F4" s="112"/>
      <c r="G4" s="131"/>
      <c r="H4" s="103"/>
      <c r="I4" s="104"/>
      <c r="J4" s="104"/>
      <c r="K4" s="105"/>
      <c r="L4" s="130"/>
      <c r="M4" s="112"/>
      <c r="N4" s="112"/>
      <c r="O4" s="131"/>
      <c r="P4" s="130"/>
      <c r="Q4" s="112"/>
      <c r="R4" s="112"/>
      <c r="S4" s="131"/>
      <c r="T4" s="130"/>
      <c r="U4" s="112"/>
      <c r="V4" s="112"/>
      <c r="W4" s="131"/>
      <c r="X4" s="130"/>
      <c r="Y4" s="112"/>
      <c r="Z4" s="112"/>
      <c r="AA4" s="131"/>
      <c r="AB4" s="130"/>
      <c r="AC4" s="112"/>
      <c r="AD4" s="112"/>
      <c r="AE4" s="131"/>
      <c r="AF4" s="130"/>
      <c r="AG4" s="112"/>
      <c r="AH4" s="112"/>
      <c r="AI4" s="131"/>
      <c r="AJ4" s="130"/>
      <c r="AK4" s="112"/>
      <c r="AL4" s="112"/>
      <c r="AM4" s="131"/>
      <c r="AN4" s="130"/>
      <c r="AO4" s="112"/>
      <c r="AP4" s="112"/>
      <c r="AQ4" s="131"/>
      <c r="AR4" s="221">
        <v>80</v>
      </c>
      <c r="AS4" s="206">
        <v>0.1</v>
      </c>
      <c r="AT4" s="206">
        <f>AR4*AS4</f>
        <v>8</v>
      </c>
    </row>
    <row r="5" spans="1:46" ht="18.600000000000001" thickBot="1" x14ac:dyDescent="0.3">
      <c r="A5" s="207"/>
      <c r="B5" s="209"/>
      <c r="C5" s="107" t="s">
        <v>193</v>
      </c>
      <c r="D5" s="132"/>
      <c r="E5" s="133"/>
      <c r="F5" s="133"/>
      <c r="G5" s="154"/>
      <c r="H5" s="155"/>
      <c r="I5" s="133"/>
      <c r="J5" s="133"/>
      <c r="K5" s="134"/>
      <c r="L5" s="132"/>
      <c r="M5" s="133"/>
      <c r="N5" s="133"/>
      <c r="O5" s="134"/>
      <c r="P5" s="132"/>
      <c r="Q5" s="133"/>
      <c r="R5" s="133"/>
      <c r="S5" s="134"/>
      <c r="T5" s="132"/>
      <c r="U5" s="133"/>
      <c r="V5" s="133"/>
      <c r="W5" s="134"/>
      <c r="X5" s="132"/>
      <c r="Y5" s="133"/>
      <c r="Z5" s="133"/>
      <c r="AA5" s="134"/>
      <c r="AB5" s="132"/>
      <c r="AC5" s="133"/>
      <c r="AD5" s="133"/>
      <c r="AE5" s="134"/>
      <c r="AF5" s="132"/>
      <c r="AG5" s="133"/>
      <c r="AH5" s="133"/>
      <c r="AI5" s="134"/>
      <c r="AJ5" s="132"/>
      <c r="AK5" s="133"/>
      <c r="AL5" s="133"/>
      <c r="AM5" s="134"/>
      <c r="AN5" s="132"/>
      <c r="AO5" s="133"/>
      <c r="AP5" s="133"/>
      <c r="AQ5" s="134"/>
      <c r="AR5" s="222"/>
      <c r="AS5" s="207"/>
      <c r="AT5" s="207"/>
    </row>
    <row r="6" spans="1:46" x14ac:dyDescent="0.25">
      <c r="A6" s="206">
        <v>2</v>
      </c>
      <c r="B6" s="208" t="s">
        <v>198</v>
      </c>
      <c r="C6" s="99" t="s">
        <v>197</v>
      </c>
      <c r="D6" s="130"/>
      <c r="E6" s="112"/>
      <c r="F6" s="104"/>
      <c r="G6" s="105"/>
      <c r="H6" s="130"/>
      <c r="I6" s="112"/>
      <c r="J6" s="112"/>
      <c r="K6" s="131"/>
      <c r="L6" s="130"/>
      <c r="M6" s="112"/>
      <c r="N6" s="112"/>
      <c r="O6" s="131"/>
      <c r="P6" s="130"/>
      <c r="Q6" s="112"/>
      <c r="R6" s="112"/>
      <c r="S6" s="131"/>
      <c r="T6" s="130"/>
      <c r="U6" s="112"/>
      <c r="V6" s="112"/>
      <c r="W6" s="131"/>
      <c r="X6" s="130"/>
      <c r="Y6" s="112"/>
      <c r="Z6" s="112"/>
      <c r="AA6" s="131"/>
      <c r="AB6" s="130"/>
      <c r="AC6" s="112"/>
      <c r="AD6" s="112"/>
      <c r="AE6" s="131"/>
      <c r="AF6" s="130"/>
      <c r="AG6" s="112"/>
      <c r="AH6" s="112"/>
      <c r="AI6" s="131"/>
      <c r="AJ6" s="130"/>
      <c r="AK6" s="112"/>
      <c r="AL6" s="112"/>
      <c r="AM6" s="131"/>
      <c r="AN6" s="130"/>
      <c r="AO6" s="112"/>
      <c r="AP6" s="112"/>
      <c r="AQ6" s="131"/>
      <c r="AR6" s="221">
        <v>10</v>
      </c>
      <c r="AS6" s="206">
        <v>0.05</v>
      </c>
      <c r="AT6" s="206">
        <f t="shared" ref="AT6" si="0">AR6*AS6</f>
        <v>0.5</v>
      </c>
    </row>
    <row r="7" spans="1:46" ht="18.600000000000001" thickBot="1" x14ac:dyDescent="0.3">
      <c r="A7" s="207"/>
      <c r="B7" s="209"/>
      <c r="C7" s="107" t="s">
        <v>193</v>
      </c>
      <c r="D7" s="132"/>
      <c r="E7" s="133"/>
      <c r="F7" s="133"/>
      <c r="G7" s="154"/>
      <c r="H7" s="155"/>
      <c r="I7" s="133"/>
      <c r="J7" s="133"/>
      <c r="K7" s="134"/>
      <c r="L7" s="132"/>
      <c r="M7" s="133"/>
      <c r="N7" s="133"/>
      <c r="O7" s="134"/>
      <c r="P7" s="132"/>
      <c r="Q7" s="133"/>
      <c r="R7" s="133"/>
      <c r="S7" s="134"/>
      <c r="T7" s="132"/>
      <c r="U7" s="133"/>
      <c r="V7" s="133"/>
      <c r="W7" s="134"/>
      <c r="X7" s="132"/>
      <c r="Y7" s="133"/>
      <c r="Z7" s="133"/>
      <c r="AA7" s="134"/>
      <c r="AB7" s="132"/>
      <c r="AC7" s="133"/>
      <c r="AD7" s="133"/>
      <c r="AE7" s="134"/>
      <c r="AF7" s="132"/>
      <c r="AG7" s="133"/>
      <c r="AH7" s="133"/>
      <c r="AI7" s="134"/>
      <c r="AJ7" s="132"/>
      <c r="AK7" s="133"/>
      <c r="AL7" s="133"/>
      <c r="AM7" s="134"/>
      <c r="AN7" s="132"/>
      <c r="AO7" s="133"/>
      <c r="AP7" s="133"/>
      <c r="AQ7" s="134"/>
      <c r="AR7" s="222"/>
      <c r="AS7" s="207"/>
      <c r="AT7" s="207"/>
    </row>
    <row r="8" spans="1:46" x14ac:dyDescent="0.25">
      <c r="A8" s="206">
        <v>3</v>
      </c>
      <c r="B8" s="208" t="s">
        <v>199</v>
      </c>
      <c r="C8" s="99" t="s">
        <v>197</v>
      </c>
      <c r="D8" s="130"/>
      <c r="E8" s="112"/>
      <c r="F8" s="112"/>
      <c r="G8" s="131"/>
      <c r="H8" s="130"/>
      <c r="I8" s="112"/>
      <c r="J8" s="104"/>
      <c r="K8" s="105"/>
      <c r="L8" s="130"/>
      <c r="M8" s="112"/>
      <c r="N8" s="112"/>
      <c r="O8" s="131"/>
      <c r="P8" s="130"/>
      <c r="Q8" s="112"/>
      <c r="R8" s="112"/>
      <c r="S8" s="131"/>
      <c r="T8" s="130"/>
      <c r="U8" s="112"/>
      <c r="V8" s="112"/>
      <c r="W8" s="131"/>
      <c r="X8" s="130"/>
      <c r="Y8" s="112"/>
      <c r="Z8" s="112"/>
      <c r="AA8" s="131"/>
      <c r="AB8" s="130"/>
      <c r="AC8" s="112"/>
      <c r="AD8" s="112"/>
      <c r="AE8" s="131"/>
      <c r="AF8" s="130"/>
      <c r="AG8" s="112"/>
      <c r="AH8" s="112"/>
      <c r="AI8" s="131"/>
      <c r="AJ8" s="130"/>
      <c r="AK8" s="112"/>
      <c r="AL8" s="112"/>
      <c r="AM8" s="131"/>
      <c r="AN8" s="130"/>
      <c r="AO8" s="112"/>
      <c r="AP8" s="112"/>
      <c r="AQ8" s="131"/>
      <c r="AR8" s="221"/>
      <c r="AS8" s="206">
        <v>0.05</v>
      </c>
      <c r="AT8" s="206">
        <f t="shared" ref="AT8" si="1">AR8*AS8</f>
        <v>0</v>
      </c>
    </row>
    <row r="9" spans="1:46" ht="18.600000000000001" thickBot="1" x14ac:dyDescent="0.3">
      <c r="A9" s="207"/>
      <c r="B9" s="209"/>
      <c r="C9" s="107" t="s">
        <v>193</v>
      </c>
      <c r="D9" s="132"/>
      <c r="E9" s="133"/>
      <c r="F9" s="133"/>
      <c r="G9" s="134"/>
      <c r="H9" s="132"/>
      <c r="I9" s="133"/>
      <c r="J9" s="133"/>
      <c r="K9" s="134"/>
      <c r="L9" s="132"/>
      <c r="M9" s="133"/>
      <c r="N9" s="133"/>
      <c r="O9" s="134"/>
      <c r="P9" s="132"/>
      <c r="Q9" s="133"/>
      <c r="R9" s="133"/>
      <c r="S9" s="134"/>
      <c r="T9" s="132"/>
      <c r="U9" s="133"/>
      <c r="V9" s="133"/>
      <c r="W9" s="134"/>
      <c r="X9" s="132"/>
      <c r="Y9" s="133"/>
      <c r="Z9" s="133"/>
      <c r="AA9" s="134"/>
      <c r="AB9" s="132"/>
      <c r="AC9" s="133"/>
      <c r="AD9" s="133"/>
      <c r="AE9" s="134"/>
      <c r="AF9" s="132"/>
      <c r="AG9" s="133"/>
      <c r="AH9" s="133"/>
      <c r="AI9" s="134"/>
      <c r="AJ9" s="132"/>
      <c r="AK9" s="133"/>
      <c r="AL9" s="133"/>
      <c r="AM9" s="134"/>
      <c r="AN9" s="132"/>
      <c r="AO9" s="133"/>
      <c r="AP9" s="133"/>
      <c r="AQ9" s="134"/>
      <c r="AR9" s="222"/>
      <c r="AS9" s="207"/>
      <c r="AT9" s="207"/>
    </row>
    <row r="10" spans="1:46" x14ac:dyDescent="0.25">
      <c r="A10" s="206">
        <v>4</v>
      </c>
      <c r="B10" s="208" t="s">
        <v>200</v>
      </c>
      <c r="C10" s="99" t="s">
        <v>197</v>
      </c>
      <c r="D10" s="130"/>
      <c r="E10" s="112"/>
      <c r="F10" s="112"/>
      <c r="G10" s="131"/>
      <c r="H10" s="130"/>
      <c r="I10" s="112"/>
      <c r="J10" s="104"/>
      <c r="K10" s="105"/>
      <c r="L10" s="130"/>
      <c r="M10" s="112"/>
      <c r="N10" s="112"/>
      <c r="O10" s="131"/>
      <c r="P10" s="130"/>
      <c r="Q10" s="112"/>
      <c r="R10" s="112"/>
      <c r="S10" s="131"/>
      <c r="T10" s="130"/>
      <c r="U10" s="112"/>
      <c r="V10" s="112"/>
      <c r="W10" s="131"/>
      <c r="X10" s="130"/>
      <c r="Y10" s="112"/>
      <c r="Z10" s="112"/>
      <c r="AA10" s="131"/>
      <c r="AB10" s="130"/>
      <c r="AC10" s="112"/>
      <c r="AD10" s="112"/>
      <c r="AE10" s="131"/>
      <c r="AF10" s="130"/>
      <c r="AG10" s="112"/>
      <c r="AH10" s="112"/>
      <c r="AI10" s="131"/>
      <c r="AJ10" s="130"/>
      <c r="AK10" s="112"/>
      <c r="AL10" s="112"/>
      <c r="AM10" s="131"/>
      <c r="AN10" s="130"/>
      <c r="AO10" s="112"/>
      <c r="AP10" s="112"/>
      <c r="AQ10" s="131"/>
      <c r="AR10" s="221"/>
      <c r="AS10" s="206">
        <v>0.05</v>
      </c>
      <c r="AT10" s="206">
        <f t="shared" ref="AT10" si="2">AR10*AS10</f>
        <v>0</v>
      </c>
    </row>
    <row r="11" spans="1:46" ht="18.600000000000001" thickBot="1" x14ac:dyDescent="0.3">
      <c r="A11" s="207"/>
      <c r="B11" s="209"/>
      <c r="C11" s="107" t="s">
        <v>193</v>
      </c>
      <c r="D11" s="132"/>
      <c r="E11" s="133"/>
      <c r="F11" s="133"/>
      <c r="G11" s="134"/>
      <c r="H11" s="132"/>
      <c r="I11" s="133"/>
      <c r="J11" s="133"/>
      <c r="K11" s="134"/>
      <c r="L11" s="132"/>
      <c r="M11" s="133"/>
      <c r="N11" s="133"/>
      <c r="O11" s="134"/>
      <c r="P11" s="132"/>
      <c r="Q11" s="133"/>
      <c r="R11" s="133"/>
      <c r="S11" s="134"/>
      <c r="T11" s="132"/>
      <c r="U11" s="133"/>
      <c r="V11" s="133"/>
      <c r="W11" s="134"/>
      <c r="X11" s="132"/>
      <c r="Y11" s="133"/>
      <c r="Z11" s="133"/>
      <c r="AA11" s="134"/>
      <c r="AB11" s="132"/>
      <c r="AC11" s="133"/>
      <c r="AD11" s="133"/>
      <c r="AE11" s="134"/>
      <c r="AF11" s="132"/>
      <c r="AG11" s="133"/>
      <c r="AH11" s="133"/>
      <c r="AI11" s="134"/>
      <c r="AJ11" s="132"/>
      <c r="AK11" s="133"/>
      <c r="AL11" s="133"/>
      <c r="AM11" s="134"/>
      <c r="AN11" s="132"/>
      <c r="AO11" s="133"/>
      <c r="AP11" s="133"/>
      <c r="AQ11" s="134"/>
      <c r="AR11" s="222"/>
      <c r="AS11" s="207"/>
      <c r="AT11" s="207"/>
    </row>
    <row r="12" spans="1:46" x14ac:dyDescent="0.25">
      <c r="A12" s="206">
        <v>5</v>
      </c>
      <c r="B12" s="208" t="s">
        <v>201</v>
      </c>
      <c r="C12" s="99" t="s">
        <v>197</v>
      </c>
      <c r="D12" s="130"/>
      <c r="E12" s="112"/>
      <c r="F12" s="112"/>
      <c r="G12" s="131"/>
      <c r="H12" s="130"/>
      <c r="I12" s="112"/>
      <c r="J12" s="112"/>
      <c r="K12" s="131"/>
      <c r="L12" s="103"/>
      <c r="M12" s="104"/>
      <c r="N12" s="112"/>
      <c r="O12" s="131"/>
      <c r="P12" s="130"/>
      <c r="Q12" s="112"/>
      <c r="R12" s="112"/>
      <c r="S12" s="131"/>
      <c r="T12" s="130"/>
      <c r="U12" s="112"/>
      <c r="V12" s="112"/>
      <c r="W12" s="131"/>
      <c r="X12" s="130"/>
      <c r="Y12" s="112"/>
      <c r="Z12" s="112"/>
      <c r="AA12" s="131"/>
      <c r="AB12" s="130"/>
      <c r="AC12" s="112"/>
      <c r="AD12" s="112"/>
      <c r="AE12" s="131"/>
      <c r="AF12" s="130"/>
      <c r="AG12" s="112"/>
      <c r="AH12" s="112"/>
      <c r="AI12" s="131"/>
      <c r="AJ12" s="130"/>
      <c r="AK12" s="112"/>
      <c r="AL12" s="112"/>
      <c r="AM12" s="131"/>
      <c r="AN12" s="130"/>
      <c r="AO12" s="112"/>
      <c r="AP12" s="112"/>
      <c r="AQ12" s="131"/>
      <c r="AR12" s="221"/>
      <c r="AS12" s="206">
        <v>0.05</v>
      </c>
      <c r="AT12" s="206">
        <f t="shared" ref="AT12" si="3">AR12*AS12</f>
        <v>0</v>
      </c>
    </row>
    <row r="13" spans="1:46" ht="18.600000000000001" thickBot="1" x14ac:dyDescent="0.3">
      <c r="A13" s="207"/>
      <c r="B13" s="209"/>
      <c r="C13" s="107" t="s">
        <v>193</v>
      </c>
      <c r="D13" s="132"/>
      <c r="E13" s="133"/>
      <c r="F13" s="133"/>
      <c r="G13" s="134"/>
      <c r="H13" s="132"/>
      <c r="I13" s="133"/>
      <c r="J13" s="133"/>
      <c r="K13" s="134"/>
      <c r="L13" s="132"/>
      <c r="M13" s="133"/>
      <c r="N13" s="133"/>
      <c r="O13" s="134"/>
      <c r="P13" s="132"/>
      <c r="Q13" s="133"/>
      <c r="R13" s="133"/>
      <c r="S13" s="134"/>
      <c r="T13" s="132"/>
      <c r="U13" s="133"/>
      <c r="V13" s="133"/>
      <c r="W13" s="134"/>
      <c r="X13" s="132"/>
      <c r="Y13" s="133"/>
      <c r="Z13" s="133"/>
      <c r="AA13" s="134"/>
      <c r="AB13" s="132"/>
      <c r="AC13" s="133"/>
      <c r="AD13" s="133"/>
      <c r="AE13" s="134"/>
      <c r="AF13" s="132"/>
      <c r="AG13" s="133"/>
      <c r="AH13" s="133"/>
      <c r="AI13" s="134"/>
      <c r="AJ13" s="132"/>
      <c r="AK13" s="133"/>
      <c r="AL13" s="133"/>
      <c r="AM13" s="134"/>
      <c r="AN13" s="132"/>
      <c r="AO13" s="133"/>
      <c r="AP13" s="133"/>
      <c r="AQ13" s="134"/>
      <c r="AR13" s="222"/>
      <c r="AS13" s="207"/>
      <c r="AT13" s="207"/>
    </row>
    <row r="14" spans="1:46" x14ac:dyDescent="0.25">
      <c r="A14" s="206">
        <v>6</v>
      </c>
      <c r="B14" s="208" t="s">
        <v>202</v>
      </c>
      <c r="C14" s="99" t="s">
        <v>197</v>
      </c>
      <c r="D14" s="130"/>
      <c r="E14" s="112"/>
      <c r="F14" s="112"/>
      <c r="G14" s="131"/>
      <c r="H14" s="130"/>
      <c r="I14" s="112"/>
      <c r="J14" s="112"/>
      <c r="K14" s="131"/>
      <c r="L14" s="130"/>
      <c r="M14" s="112"/>
      <c r="N14" s="104"/>
      <c r="O14" s="105"/>
      <c r="P14" s="130"/>
      <c r="Q14" s="112"/>
      <c r="R14" s="112"/>
      <c r="S14" s="131"/>
      <c r="T14" s="130"/>
      <c r="U14" s="112"/>
      <c r="V14" s="112"/>
      <c r="W14" s="131"/>
      <c r="X14" s="130"/>
      <c r="Y14" s="112"/>
      <c r="Z14" s="112"/>
      <c r="AA14" s="131"/>
      <c r="AB14" s="130"/>
      <c r="AC14" s="112"/>
      <c r="AD14" s="112"/>
      <c r="AE14" s="131"/>
      <c r="AF14" s="130"/>
      <c r="AG14" s="112"/>
      <c r="AH14" s="112"/>
      <c r="AI14" s="131"/>
      <c r="AJ14" s="130"/>
      <c r="AK14" s="112"/>
      <c r="AL14" s="112"/>
      <c r="AM14" s="131"/>
      <c r="AN14" s="130"/>
      <c r="AO14" s="112"/>
      <c r="AP14" s="112"/>
      <c r="AQ14" s="131"/>
      <c r="AR14" s="221"/>
      <c r="AS14" s="206">
        <v>0.05</v>
      </c>
      <c r="AT14" s="206">
        <f t="shared" ref="AT14" si="4">AR14*AS14</f>
        <v>0</v>
      </c>
    </row>
    <row r="15" spans="1:46" ht="18.600000000000001" thickBot="1" x14ac:dyDescent="0.3">
      <c r="A15" s="207"/>
      <c r="B15" s="209"/>
      <c r="C15" s="107" t="s">
        <v>193</v>
      </c>
      <c r="D15" s="132"/>
      <c r="E15" s="133"/>
      <c r="F15" s="133"/>
      <c r="G15" s="134"/>
      <c r="H15" s="132"/>
      <c r="I15" s="133"/>
      <c r="J15" s="133"/>
      <c r="K15" s="134"/>
      <c r="L15" s="132"/>
      <c r="M15" s="133"/>
      <c r="N15" s="133"/>
      <c r="O15" s="134"/>
      <c r="P15" s="132"/>
      <c r="Q15" s="133"/>
      <c r="R15" s="133"/>
      <c r="S15" s="134"/>
      <c r="T15" s="132"/>
      <c r="U15" s="133"/>
      <c r="V15" s="133"/>
      <c r="W15" s="134"/>
      <c r="X15" s="132"/>
      <c r="Y15" s="133"/>
      <c r="Z15" s="133"/>
      <c r="AA15" s="134"/>
      <c r="AB15" s="132"/>
      <c r="AC15" s="133"/>
      <c r="AD15" s="133"/>
      <c r="AE15" s="134"/>
      <c r="AF15" s="132"/>
      <c r="AG15" s="133"/>
      <c r="AH15" s="133"/>
      <c r="AI15" s="134"/>
      <c r="AJ15" s="132"/>
      <c r="AK15" s="133"/>
      <c r="AL15" s="133"/>
      <c r="AM15" s="134"/>
      <c r="AN15" s="132"/>
      <c r="AO15" s="133"/>
      <c r="AP15" s="133"/>
      <c r="AQ15" s="134"/>
      <c r="AR15" s="222"/>
      <c r="AS15" s="207"/>
      <c r="AT15" s="207"/>
    </row>
    <row r="16" spans="1:46" x14ac:dyDescent="0.25">
      <c r="A16" s="206">
        <v>7</v>
      </c>
      <c r="B16" s="208" t="s">
        <v>203</v>
      </c>
      <c r="C16" s="99" t="s">
        <v>197</v>
      </c>
      <c r="D16" s="130"/>
      <c r="E16" s="112"/>
      <c r="F16" s="112"/>
      <c r="G16" s="131"/>
      <c r="H16" s="130"/>
      <c r="I16" s="112"/>
      <c r="J16" s="112"/>
      <c r="K16" s="131"/>
      <c r="L16" s="130"/>
      <c r="M16" s="112"/>
      <c r="N16" s="112"/>
      <c r="O16" s="131"/>
      <c r="P16" s="103"/>
      <c r="Q16" s="104"/>
      <c r="R16" s="112"/>
      <c r="S16" s="131"/>
      <c r="T16" s="130"/>
      <c r="U16" s="112"/>
      <c r="V16" s="112"/>
      <c r="W16" s="131"/>
      <c r="X16" s="130"/>
      <c r="Y16" s="112"/>
      <c r="Z16" s="112"/>
      <c r="AA16" s="131"/>
      <c r="AB16" s="130"/>
      <c r="AC16" s="112"/>
      <c r="AD16" s="112"/>
      <c r="AE16" s="131"/>
      <c r="AF16" s="130"/>
      <c r="AG16" s="112"/>
      <c r="AH16" s="112"/>
      <c r="AI16" s="131"/>
      <c r="AJ16" s="130"/>
      <c r="AK16" s="112"/>
      <c r="AL16" s="112"/>
      <c r="AM16" s="131"/>
      <c r="AN16" s="130"/>
      <c r="AO16" s="112"/>
      <c r="AP16" s="112"/>
      <c r="AQ16" s="131"/>
      <c r="AR16" s="221"/>
      <c r="AS16" s="206">
        <v>0.05</v>
      </c>
      <c r="AT16" s="206">
        <f t="shared" ref="AT16" si="5">AR16*AS16</f>
        <v>0</v>
      </c>
    </row>
    <row r="17" spans="1:46" ht="18.600000000000001" thickBot="1" x14ac:dyDescent="0.3">
      <c r="A17" s="207"/>
      <c r="B17" s="209"/>
      <c r="C17" s="107" t="s">
        <v>193</v>
      </c>
      <c r="D17" s="132"/>
      <c r="E17" s="133"/>
      <c r="F17" s="133"/>
      <c r="G17" s="134"/>
      <c r="H17" s="132"/>
      <c r="I17" s="133"/>
      <c r="J17" s="133"/>
      <c r="K17" s="134"/>
      <c r="L17" s="132"/>
      <c r="M17" s="133"/>
      <c r="N17" s="133"/>
      <c r="O17" s="134"/>
      <c r="P17" s="132"/>
      <c r="Q17" s="133"/>
      <c r="R17" s="133"/>
      <c r="S17" s="134"/>
      <c r="T17" s="132"/>
      <c r="U17" s="133"/>
      <c r="V17" s="133"/>
      <c r="W17" s="134"/>
      <c r="X17" s="132"/>
      <c r="Y17" s="133"/>
      <c r="Z17" s="133"/>
      <c r="AA17" s="134"/>
      <c r="AB17" s="132"/>
      <c r="AC17" s="133"/>
      <c r="AD17" s="133"/>
      <c r="AE17" s="134"/>
      <c r="AF17" s="132"/>
      <c r="AG17" s="133"/>
      <c r="AH17" s="133"/>
      <c r="AI17" s="134"/>
      <c r="AJ17" s="132"/>
      <c r="AK17" s="133"/>
      <c r="AL17" s="133"/>
      <c r="AM17" s="134"/>
      <c r="AN17" s="132"/>
      <c r="AO17" s="133"/>
      <c r="AP17" s="133"/>
      <c r="AQ17" s="134"/>
      <c r="AR17" s="222"/>
      <c r="AS17" s="207"/>
      <c r="AT17" s="207"/>
    </row>
    <row r="18" spans="1:46" x14ac:dyDescent="0.25">
      <c r="A18" s="206">
        <v>8</v>
      </c>
      <c r="B18" s="208" t="s">
        <v>204</v>
      </c>
      <c r="C18" s="99" t="s">
        <v>197</v>
      </c>
      <c r="D18" s="130"/>
      <c r="E18" s="112"/>
      <c r="F18" s="112"/>
      <c r="G18" s="131"/>
      <c r="H18" s="130"/>
      <c r="I18" s="112"/>
      <c r="J18" s="112"/>
      <c r="K18" s="131"/>
      <c r="L18" s="130"/>
      <c r="M18" s="112"/>
      <c r="N18" s="112"/>
      <c r="O18" s="131"/>
      <c r="P18" s="130"/>
      <c r="Q18" s="112"/>
      <c r="R18" s="104"/>
      <c r="S18" s="131"/>
      <c r="T18" s="130"/>
      <c r="U18" s="112"/>
      <c r="V18" s="112"/>
      <c r="W18" s="131"/>
      <c r="X18" s="130"/>
      <c r="Y18" s="112"/>
      <c r="Z18" s="112"/>
      <c r="AA18" s="131"/>
      <c r="AB18" s="130"/>
      <c r="AC18" s="112"/>
      <c r="AD18" s="112"/>
      <c r="AE18" s="131"/>
      <c r="AF18" s="130"/>
      <c r="AG18" s="112"/>
      <c r="AH18" s="112"/>
      <c r="AI18" s="131"/>
      <c r="AJ18" s="130"/>
      <c r="AK18" s="112"/>
      <c r="AL18" s="112"/>
      <c r="AM18" s="131"/>
      <c r="AN18" s="130"/>
      <c r="AO18" s="112"/>
      <c r="AP18" s="112"/>
      <c r="AQ18" s="131"/>
      <c r="AR18" s="221"/>
      <c r="AS18" s="206">
        <v>0.05</v>
      </c>
      <c r="AT18" s="206">
        <f t="shared" ref="AT18" si="6">AR18*AS18</f>
        <v>0</v>
      </c>
    </row>
    <row r="19" spans="1:46" ht="18.600000000000001" thickBot="1" x14ac:dyDescent="0.3">
      <c r="A19" s="207"/>
      <c r="B19" s="209"/>
      <c r="C19" s="107" t="s">
        <v>193</v>
      </c>
      <c r="D19" s="132"/>
      <c r="E19" s="133"/>
      <c r="F19" s="133"/>
      <c r="G19" s="134"/>
      <c r="H19" s="132"/>
      <c r="I19" s="133"/>
      <c r="J19" s="133"/>
      <c r="K19" s="134"/>
      <c r="L19" s="132"/>
      <c r="M19" s="133"/>
      <c r="N19" s="133"/>
      <c r="O19" s="134"/>
      <c r="P19" s="132"/>
      <c r="Q19" s="133"/>
      <c r="R19" s="133"/>
      <c r="S19" s="134"/>
      <c r="T19" s="132"/>
      <c r="U19" s="133"/>
      <c r="V19" s="133"/>
      <c r="W19" s="134"/>
      <c r="X19" s="132"/>
      <c r="Y19" s="133"/>
      <c r="Z19" s="133"/>
      <c r="AA19" s="134"/>
      <c r="AB19" s="132"/>
      <c r="AC19" s="133"/>
      <c r="AD19" s="133"/>
      <c r="AE19" s="134"/>
      <c r="AF19" s="132"/>
      <c r="AG19" s="133"/>
      <c r="AH19" s="133"/>
      <c r="AI19" s="134"/>
      <c r="AJ19" s="132"/>
      <c r="AK19" s="133"/>
      <c r="AL19" s="133"/>
      <c r="AM19" s="134"/>
      <c r="AN19" s="132"/>
      <c r="AO19" s="133"/>
      <c r="AP19" s="133"/>
      <c r="AQ19" s="134"/>
      <c r="AR19" s="222"/>
      <c r="AS19" s="207"/>
      <c r="AT19" s="207"/>
    </row>
    <row r="20" spans="1:46" x14ac:dyDescent="0.25">
      <c r="A20" s="206">
        <v>9</v>
      </c>
      <c r="B20" s="208" t="s">
        <v>205</v>
      </c>
      <c r="C20" s="99" t="s">
        <v>197</v>
      </c>
      <c r="D20" s="130"/>
      <c r="E20" s="112"/>
      <c r="F20" s="112"/>
      <c r="G20" s="131"/>
      <c r="H20" s="130"/>
      <c r="I20" s="112"/>
      <c r="J20" s="112"/>
      <c r="K20" s="131"/>
      <c r="L20" s="130"/>
      <c r="M20" s="112"/>
      <c r="N20" s="112"/>
      <c r="O20" s="131"/>
      <c r="P20" s="130"/>
      <c r="Q20" s="112"/>
      <c r="R20" s="112"/>
      <c r="S20" s="105"/>
      <c r="T20" s="103"/>
      <c r="U20" s="104"/>
      <c r="V20" s="112"/>
      <c r="W20" s="131"/>
      <c r="X20" s="130"/>
      <c r="Y20" s="112"/>
      <c r="Z20" s="112"/>
      <c r="AA20" s="131"/>
      <c r="AB20" s="130"/>
      <c r="AC20" s="112"/>
      <c r="AD20" s="112"/>
      <c r="AE20" s="131"/>
      <c r="AF20" s="130"/>
      <c r="AG20" s="112"/>
      <c r="AH20" s="112"/>
      <c r="AI20" s="131"/>
      <c r="AJ20" s="130"/>
      <c r="AK20" s="112"/>
      <c r="AL20" s="112"/>
      <c r="AM20" s="131"/>
      <c r="AN20" s="130"/>
      <c r="AO20" s="112"/>
      <c r="AP20" s="112"/>
      <c r="AQ20" s="131"/>
      <c r="AR20" s="221"/>
      <c r="AS20" s="206">
        <v>0.05</v>
      </c>
      <c r="AT20" s="206">
        <f t="shared" ref="AT20" si="7">AR20*AS20</f>
        <v>0</v>
      </c>
    </row>
    <row r="21" spans="1:46" ht="18.600000000000001" thickBot="1" x14ac:dyDescent="0.3">
      <c r="A21" s="207"/>
      <c r="B21" s="209"/>
      <c r="C21" s="107" t="s">
        <v>193</v>
      </c>
      <c r="D21" s="132"/>
      <c r="E21" s="133"/>
      <c r="F21" s="133"/>
      <c r="G21" s="134"/>
      <c r="H21" s="132"/>
      <c r="I21" s="133"/>
      <c r="J21" s="133"/>
      <c r="K21" s="134"/>
      <c r="L21" s="132"/>
      <c r="M21" s="133"/>
      <c r="N21" s="133"/>
      <c r="O21" s="134"/>
      <c r="P21" s="132"/>
      <c r="Q21" s="133"/>
      <c r="R21" s="133"/>
      <c r="S21" s="134"/>
      <c r="T21" s="132"/>
      <c r="U21" s="133"/>
      <c r="V21" s="133"/>
      <c r="W21" s="134"/>
      <c r="X21" s="132"/>
      <c r="Y21" s="133"/>
      <c r="Z21" s="133"/>
      <c r="AA21" s="134"/>
      <c r="AB21" s="132"/>
      <c r="AC21" s="133"/>
      <c r="AD21" s="133"/>
      <c r="AE21" s="134"/>
      <c r="AF21" s="132"/>
      <c r="AG21" s="133"/>
      <c r="AH21" s="133"/>
      <c r="AI21" s="134"/>
      <c r="AJ21" s="132"/>
      <c r="AK21" s="133"/>
      <c r="AL21" s="133"/>
      <c r="AM21" s="134"/>
      <c r="AN21" s="132"/>
      <c r="AO21" s="133"/>
      <c r="AP21" s="133"/>
      <c r="AQ21" s="134"/>
      <c r="AR21" s="222"/>
      <c r="AS21" s="207"/>
      <c r="AT21" s="207"/>
    </row>
    <row r="22" spans="1:46" x14ac:dyDescent="0.25">
      <c r="A22" s="206">
        <v>10</v>
      </c>
      <c r="B22" s="208" t="s">
        <v>206</v>
      </c>
      <c r="C22" s="99" t="s">
        <v>197</v>
      </c>
      <c r="D22" s="130"/>
      <c r="E22" s="112"/>
      <c r="F22" s="112"/>
      <c r="G22" s="131"/>
      <c r="H22" s="130"/>
      <c r="I22" s="112"/>
      <c r="J22" s="112"/>
      <c r="K22" s="131"/>
      <c r="L22" s="130"/>
      <c r="M22" s="112"/>
      <c r="N22" s="112"/>
      <c r="O22" s="131"/>
      <c r="P22" s="130"/>
      <c r="Q22" s="112"/>
      <c r="R22" s="112"/>
      <c r="S22" s="131"/>
      <c r="T22" s="130"/>
      <c r="U22" s="112"/>
      <c r="V22" s="104"/>
      <c r="W22" s="105"/>
      <c r="X22" s="103"/>
      <c r="Y22" s="104"/>
      <c r="Z22" s="112"/>
      <c r="AA22" s="131"/>
      <c r="AB22" s="130"/>
      <c r="AC22" s="112"/>
      <c r="AD22" s="112"/>
      <c r="AE22" s="131"/>
      <c r="AF22" s="130"/>
      <c r="AG22" s="112"/>
      <c r="AH22" s="112"/>
      <c r="AI22" s="131"/>
      <c r="AJ22" s="130"/>
      <c r="AK22" s="112"/>
      <c r="AL22" s="112"/>
      <c r="AM22" s="131"/>
      <c r="AN22" s="130"/>
      <c r="AO22" s="112"/>
      <c r="AP22" s="112"/>
      <c r="AQ22" s="131"/>
      <c r="AR22" s="221"/>
      <c r="AS22" s="206">
        <v>0.1</v>
      </c>
      <c r="AT22" s="206">
        <f t="shared" ref="AT22" si="8">AR22*AS22</f>
        <v>0</v>
      </c>
    </row>
    <row r="23" spans="1:46" ht="18.600000000000001" thickBot="1" x14ac:dyDescent="0.3">
      <c r="A23" s="207"/>
      <c r="B23" s="209"/>
      <c r="C23" s="107" t="s">
        <v>193</v>
      </c>
      <c r="D23" s="132"/>
      <c r="E23" s="133"/>
      <c r="F23" s="133"/>
      <c r="G23" s="134"/>
      <c r="H23" s="132"/>
      <c r="I23" s="133"/>
      <c r="J23" s="133"/>
      <c r="K23" s="134"/>
      <c r="L23" s="132"/>
      <c r="M23" s="133"/>
      <c r="N23" s="133"/>
      <c r="O23" s="134"/>
      <c r="P23" s="132"/>
      <c r="Q23" s="133"/>
      <c r="R23" s="133"/>
      <c r="S23" s="134"/>
      <c r="T23" s="132"/>
      <c r="U23" s="133"/>
      <c r="V23" s="133"/>
      <c r="W23" s="134"/>
      <c r="X23" s="132"/>
      <c r="Y23" s="133"/>
      <c r="Z23" s="133"/>
      <c r="AA23" s="134"/>
      <c r="AB23" s="132"/>
      <c r="AC23" s="133"/>
      <c r="AD23" s="133"/>
      <c r="AE23" s="134"/>
      <c r="AF23" s="132"/>
      <c r="AG23" s="133"/>
      <c r="AH23" s="133"/>
      <c r="AI23" s="134"/>
      <c r="AJ23" s="132"/>
      <c r="AK23" s="133"/>
      <c r="AL23" s="133"/>
      <c r="AM23" s="134"/>
      <c r="AN23" s="132"/>
      <c r="AO23" s="133"/>
      <c r="AP23" s="133"/>
      <c r="AQ23" s="134"/>
      <c r="AR23" s="222"/>
      <c r="AS23" s="207"/>
      <c r="AT23" s="207"/>
    </row>
    <row r="24" spans="1:46" x14ac:dyDescent="0.25">
      <c r="A24" s="206">
        <v>11</v>
      </c>
      <c r="B24" s="208" t="s">
        <v>207</v>
      </c>
      <c r="C24" s="99" t="s">
        <v>197</v>
      </c>
      <c r="D24" s="130"/>
      <c r="E24" s="112"/>
      <c r="F24" s="112"/>
      <c r="G24" s="131"/>
      <c r="H24" s="130"/>
      <c r="I24" s="112"/>
      <c r="J24" s="112"/>
      <c r="K24" s="131"/>
      <c r="L24" s="130"/>
      <c r="M24" s="112"/>
      <c r="N24" s="112"/>
      <c r="O24" s="131"/>
      <c r="P24" s="130"/>
      <c r="Q24" s="112"/>
      <c r="R24" s="112"/>
      <c r="S24" s="131"/>
      <c r="T24" s="130"/>
      <c r="U24" s="112"/>
      <c r="V24" s="104"/>
      <c r="W24" s="105"/>
      <c r="X24" s="103"/>
      <c r="Y24" s="104"/>
      <c r="Z24" s="112"/>
      <c r="AA24" s="131"/>
      <c r="AB24" s="130"/>
      <c r="AC24" s="112"/>
      <c r="AD24" s="112"/>
      <c r="AE24" s="131"/>
      <c r="AF24" s="130"/>
      <c r="AG24" s="112"/>
      <c r="AH24" s="112"/>
      <c r="AI24" s="131"/>
      <c r="AJ24" s="130"/>
      <c r="AK24" s="112"/>
      <c r="AL24" s="112"/>
      <c r="AM24" s="131"/>
      <c r="AN24" s="130"/>
      <c r="AO24" s="112"/>
      <c r="AP24" s="112"/>
      <c r="AQ24" s="131"/>
      <c r="AR24" s="221"/>
      <c r="AS24" s="206">
        <v>0.1</v>
      </c>
      <c r="AT24" s="206">
        <f t="shared" ref="AT24:AT34" si="9">AR24*AS24</f>
        <v>0</v>
      </c>
    </row>
    <row r="25" spans="1:46" ht="18.600000000000001" thickBot="1" x14ac:dyDescent="0.3">
      <c r="A25" s="207"/>
      <c r="B25" s="209"/>
      <c r="C25" s="107" t="s">
        <v>193</v>
      </c>
      <c r="D25" s="132"/>
      <c r="E25" s="133"/>
      <c r="F25" s="133"/>
      <c r="G25" s="134"/>
      <c r="H25" s="132"/>
      <c r="I25" s="133"/>
      <c r="J25" s="133"/>
      <c r="K25" s="134"/>
      <c r="L25" s="132"/>
      <c r="M25" s="133"/>
      <c r="N25" s="133"/>
      <c r="O25" s="134"/>
      <c r="P25" s="132"/>
      <c r="Q25" s="133"/>
      <c r="R25" s="133"/>
      <c r="S25" s="134"/>
      <c r="T25" s="132"/>
      <c r="U25" s="133"/>
      <c r="V25" s="133"/>
      <c r="W25" s="134"/>
      <c r="X25" s="132"/>
      <c r="Y25" s="133"/>
      <c r="Z25" s="133"/>
      <c r="AA25" s="134"/>
      <c r="AB25" s="132"/>
      <c r="AC25" s="133"/>
      <c r="AD25" s="133"/>
      <c r="AE25" s="134"/>
      <c r="AF25" s="132"/>
      <c r="AG25" s="133"/>
      <c r="AH25" s="133"/>
      <c r="AI25" s="134"/>
      <c r="AJ25" s="132"/>
      <c r="AK25" s="133"/>
      <c r="AL25" s="133"/>
      <c r="AM25" s="134"/>
      <c r="AN25" s="132"/>
      <c r="AO25" s="133"/>
      <c r="AP25" s="133"/>
      <c r="AQ25" s="134"/>
      <c r="AR25" s="222"/>
      <c r="AS25" s="207"/>
      <c r="AT25" s="207"/>
    </row>
    <row r="26" spans="1:46" x14ac:dyDescent="0.25">
      <c r="A26" s="206">
        <v>12</v>
      </c>
      <c r="B26" s="208" t="s">
        <v>208</v>
      </c>
      <c r="C26" s="99" t="s">
        <v>197</v>
      </c>
      <c r="D26" s="130"/>
      <c r="E26" s="112"/>
      <c r="F26" s="112"/>
      <c r="G26" s="131"/>
      <c r="H26" s="130"/>
      <c r="I26" s="112"/>
      <c r="J26" s="112"/>
      <c r="K26" s="131"/>
      <c r="L26" s="130"/>
      <c r="M26" s="112"/>
      <c r="N26" s="112"/>
      <c r="O26" s="131"/>
      <c r="P26" s="130"/>
      <c r="Q26" s="112"/>
      <c r="R26" s="112"/>
      <c r="S26" s="131"/>
      <c r="T26" s="130"/>
      <c r="U26" s="112"/>
      <c r="V26" s="112"/>
      <c r="W26" s="131"/>
      <c r="X26" s="130"/>
      <c r="Y26" s="112"/>
      <c r="Z26" s="112"/>
      <c r="AA26" s="131"/>
      <c r="AB26" s="130"/>
      <c r="AC26" s="104"/>
      <c r="AD26" s="104"/>
      <c r="AE26" s="131"/>
      <c r="AF26" s="130"/>
      <c r="AG26" s="112"/>
      <c r="AH26" s="112"/>
      <c r="AI26" s="131"/>
      <c r="AJ26" s="130"/>
      <c r="AK26" s="112"/>
      <c r="AL26" s="112"/>
      <c r="AM26" s="131"/>
      <c r="AN26" s="130"/>
      <c r="AO26" s="112"/>
      <c r="AP26" s="112"/>
      <c r="AQ26" s="131"/>
      <c r="AR26" s="221"/>
      <c r="AS26" s="206">
        <v>0.1</v>
      </c>
      <c r="AT26" s="206">
        <f t="shared" si="9"/>
        <v>0</v>
      </c>
    </row>
    <row r="27" spans="1:46" ht="18.600000000000001" thickBot="1" x14ac:dyDescent="0.3">
      <c r="A27" s="207"/>
      <c r="B27" s="209"/>
      <c r="C27" s="107" t="s">
        <v>193</v>
      </c>
      <c r="D27" s="132"/>
      <c r="E27" s="133"/>
      <c r="F27" s="133"/>
      <c r="G27" s="134"/>
      <c r="H27" s="132"/>
      <c r="I27" s="133"/>
      <c r="J27" s="133"/>
      <c r="K27" s="134"/>
      <c r="L27" s="132"/>
      <c r="M27" s="133"/>
      <c r="N27" s="133"/>
      <c r="O27" s="134"/>
      <c r="P27" s="132"/>
      <c r="Q27" s="133"/>
      <c r="R27" s="133"/>
      <c r="S27" s="134"/>
      <c r="T27" s="132"/>
      <c r="U27" s="133"/>
      <c r="V27" s="133"/>
      <c r="W27" s="134"/>
      <c r="X27" s="132"/>
      <c r="Y27" s="133"/>
      <c r="Z27" s="133"/>
      <c r="AA27" s="134"/>
      <c r="AB27" s="132"/>
      <c r="AC27" s="133"/>
      <c r="AD27" s="133"/>
      <c r="AE27" s="134"/>
      <c r="AF27" s="132"/>
      <c r="AG27" s="133"/>
      <c r="AH27" s="133"/>
      <c r="AI27" s="134"/>
      <c r="AJ27" s="132"/>
      <c r="AK27" s="133"/>
      <c r="AL27" s="133"/>
      <c r="AM27" s="134"/>
      <c r="AN27" s="132"/>
      <c r="AO27" s="133"/>
      <c r="AP27" s="133"/>
      <c r="AQ27" s="134"/>
      <c r="AR27" s="222"/>
      <c r="AS27" s="207"/>
      <c r="AT27" s="207"/>
    </row>
    <row r="28" spans="1:46" x14ac:dyDescent="0.25">
      <c r="A28" s="206">
        <v>13</v>
      </c>
      <c r="B28" s="208" t="s">
        <v>209</v>
      </c>
      <c r="C28" s="99" t="s">
        <v>197</v>
      </c>
      <c r="D28" s="130"/>
      <c r="E28" s="112"/>
      <c r="F28" s="112"/>
      <c r="G28" s="131"/>
      <c r="H28" s="130"/>
      <c r="I28" s="112"/>
      <c r="J28" s="112"/>
      <c r="K28" s="131"/>
      <c r="L28" s="130"/>
      <c r="M28" s="112"/>
      <c r="N28" s="112"/>
      <c r="O28" s="131"/>
      <c r="P28" s="130"/>
      <c r="Q28" s="112"/>
      <c r="R28" s="112"/>
      <c r="S28" s="131"/>
      <c r="T28" s="130"/>
      <c r="U28" s="112"/>
      <c r="V28" s="112"/>
      <c r="W28" s="131"/>
      <c r="X28" s="130"/>
      <c r="Y28" s="112"/>
      <c r="Z28" s="112"/>
      <c r="AA28" s="131"/>
      <c r="AB28" s="130"/>
      <c r="AC28" s="112"/>
      <c r="AD28" s="112"/>
      <c r="AE28" s="105"/>
      <c r="AF28" s="130"/>
      <c r="AG28" s="112"/>
      <c r="AH28" s="112"/>
      <c r="AI28" s="131"/>
      <c r="AJ28" s="130"/>
      <c r="AK28" s="112"/>
      <c r="AL28" s="112"/>
      <c r="AM28" s="131"/>
      <c r="AN28" s="130"/>
      <c r="AO28" s="112"/>
      <c r="AP28" s="112"/>
      <c r="AQ28" s="131"/>
      <c r="AR28" s="221"/>
      <c r="AS28" s="206">
        <v>0.05</v>
      </c>
      <c r="AT28" s="206">
        <f t="shared" si="9"/>
        <v>0</v>
      </c>
    </row>
    <row r="29" spans="1:46" ht="18.600000000000001" thickBot="1" x14ac:dyDescent="0.3">
      <c r="A29" s="207"/>
      <c r="B29" s="209"/>
      <c r="C29" s="107" t="s">
        <v>193</v>
      </c>
      <c r="D29" s="132"/>
      <c r="E29" s="133"/>
      <c r="F29" s="133"/>
      <c r="G29" s="134"/>
      <c r="H29" s="132"/>
      <c r="I29" s="133"/>
      <c r="J29" s="133"/>
      <c r="K29" s="134"/>
      <c r="L29" s="132"/>
      <c r="M29" s="133"/>
      <c r="N29" s="133"/>
      <c r="O29" s="134"/>
      <c r="P29" s="132"/>
      <c r="Q29" s="133"/>
      <c r="R29" s="133"/>
      <c r="S29" s="134"/>
      <c r="T29" s="132"/>
      <c r="U29" s="133"/>
      <c r="V29" s="133"/>
      <c r="W29" s="134"/>
      <c r="X29" s="132"/>
      <c r="Y29" s="133"/>
      <c r="Z29" s="133"/>
      <c r="AA29" s="134"/>
      <c r="AB29" s="132"/>
      <c r="AC29" s="133"/>
      <c r="AD29" s="133"/>
      <c r="AE29" s="134"/>
      <c r="AF29" s="132"/>
      <c r="AG29" s="133"/>
      <c r="AH29" s="133"/>
      <c r="AI29" s="134"/>
      <c r="AJ29" s="132"/>
      <c r="AK29" s="133"/>
      <c r="AL29" s="133"/>
      <c r="AM29" s="134"/>
      <c r="AN29" s="132"/>
      <c r="AO29" s="133"/>
      <c r="AP29" s="133"/>
      <c r="AQ29" s="134"/>
      <c r="AR29" s="222"/>
      <c r="AS29" s="207"/>
      <c r="AT29" s="207"/>
    </row>
    <row r="30" spans="1:46" x14ac:dyDescent="0.25">
      <c r="A30" s="206">
        <v>14</v>
      </c>
      <c r="B30" s="208" t="s">
        <v>210</v>
      </c>
      <c r="C30" s="99" t="s">
        <v>197</v>
      </c>
      <c r="D30" s="130"/>
      <c r="E30" s="112"/>
      <c r="F30" s="112"/>
      <c r="G30" s="131"/>
      <c r="H30" s="130"/>
      <c r="I30" s="112"/>
      <c r="J30" s="112"/>
      <c r="K30" s="131"/>
      <c r="L30" s="130"/>
      <c r="M30" s="112"/>
      <c r="N30" s="112"/>
      <c r="O30" s="131"/>
      <c r="P30" s="130"/>
      <c r="Q30" s="112"/>
      <c r="R30" s="112"/>
      <c r="S30" s="131"/>
      <c r="T30" s="130"/>
      <c r="U30" s="112"/>
      <c r="V30" s="112"/>
      <c r="W30" s="131"/>
      <c r="X30" s="130"/>
      <c r="Y30" s="112"/>
      <c r="Z30" s="112"/>
      <c r="AA30" s="131"/>
      <c r="AB30" s="130"/>
      <c r="AC30" s="112"/>
      <c r="AD30" s="112"/>
      <c r="AE30" s="131"/>
      <c r="AF30" s="103"/>
      <c r="AG30" s="112"/>
      <c r="AH30" s="112"/>
      <c r="AI30" s="131"/>
      <c r="AJ30" s="130"/>
      <c r="AK30" s="112"/>
      <c r="AL30" s="112"/>
      <c r="AM30" s="131"/>
      <c r="AN30" s="130"/>
      <c r="AO30" s="112"/>
      <c r="AP30" s="112"/>
      <c r="AQ30" s="131"/>
      <c r="AR30" s="221"/>
      <c r="AS30" s="206">
        <v>0.05</v>
      </c>
      <c r="AT30" s="206">
        <f t="shared" si="9"/>
        <v>0</v>
      </c>
    </row>
    <row r="31" spans="1:46" ht="18.600000000000001" thickBot="1" x14ac:dyDescent="0.3">
      <c r="A31" s="207"/>
      <c r="B31" s="209"/>
      <c r="C31" s="107" t="s">
        <v>193</v>
      </c>
      <c r="D31" s="132"/>
      <c r="E31" s="133"/>
      <c r="F31" s="133"/>
      <c r="G31" s="134"/>
      <c r="H31" s="132"/>
      <c r="I31" s="133"/>
      <c r="J31" s="133"/>
      <c r="K31" s="134"/>
      <c r="L31" s="132"/>
      <c r="M31" s="133"/>
      <c r="N31" s="133"/>
      <c r="O31" s="134"/>
      <c r="P31" s="132"/>
      <c r="Q31" s="133"/>
      <c r="R31" s="133"/>
      <c r="S31" s="134"/>
      <c r="T31" s="132"/>
      <c r="U31" s="133"/>
      <c r="V31" s="133"/>
      <c r="W31" s="134"/>
      <c r="X31" s="132"/>
      <c r="Y31" s="133"/>
      <c r="Z31" s="133"/>
      <c r="AA31" s="134"/>
      <c r="AB31" s="132"/>
      <c r="AC31" s="133"/>
      <c r="AD31" s="133"/>
      <c r="AE31" s="134"/>
      <c r="AF31" s="132"/>
      <c r="AG31" s="133"/>
      <c r="AH31" s="133"/>
      <c r="AI31" s="134"/>
      <c r="AJ31" s="132"/>
      <c r="AK31" s="133"/>
      <c r="AL31" s="133"/>
      <c r="AM31" s="134"/>
      <c r="AN31" s="132"/>
      <c r="AO31" s="133"/>
      <c r="AP31" s="133"/>
      <c r="AQ31" s="134"/>
      <c r="AR31" s="222"/>
      <c r="AS31" s="207"/>
      <c r="AT31" s="207"/>
    </row>
    <row r="32" spans="1:46" x14ac:dyDescent="0.25">
      <c r="A32" s="206">
        <v>15</v>
      </c>
      <c r="B32" s="208" t="s">
        <v>211</v>
      </c>
      <c r="C32" s="99" t="s">
        <v>197</v>
      </c>
      <c r="D32" s="130"/>
      <c r="E32" s="112"/>
      <c r="F32" s="112"/>
      <c r="G32" s="131"/>
      <c r="H32" s="130"/>
      <c r="I32" s="112"/>
      <c r="J32" s="112"/>
      <c r="K32" s="131"/>
      <c r="L32" s="130"/>
      <c r="M32" s="112"/>
      <c r="N32" s="112"/>
      <c r="O32" s="131"/>
      <c r="P32" s="130"/>
      <c r="Q32" s="112"/>
      <c r="R32" s="112"/>
      <c r="S32" s="131"/>
      <c r="T32" s="130"/>
      <c r="U32" s="112"/>
      <c r="V32" s="112"/>
      <c r="W32" s="131"/>
      <c r="X32" s="130"/>
      <c r="Y32" s="112"/>
      <c r="Z32" s="112"/>
      <c r="AA32" s="131"/>
      <c r="AB32" s="130"/>
      <c r="AC32" s="112"/>
      <c r="AD32" s="112"/>
      <c r="AE32" s="131"/>
      <c r="AF32" s="130"/>
      <c r="AG32" s="104"/>
      <c r="AH32" s="104"/>
      <c r="AI32" s="131"/>
      <c r="AJ32" s="130"/>
      <c r="AK32" s="112"/>
      <c r="AL32" s="112"/>
      <c r="AM32" s="131"/>
      <c r="AN32" s="130"/>
      <c r="AO32" s="112"/>
      <c r="AP32" s="112"/>
      <c r="AQ32" s="131"/>
      <c r="AR32" s="221"/>
      <c r="AS32" s="206">
        <v>0.05</v>
      </c>
      <c r="AT32" s="206">
        <f t="shared" si="9"/>
        <v>0</v>
      </c>
    </row>
    <row r="33" spans="1:46" ht="18.600000000000001" thickBot="1" x14ac:dyDescent="0.3">
      <c r="A33" s="207"/>
      <c r="B33" s="209"/>
      <c r="C33" s="107" t="s">
        <v>193</v>
      </c>
      <c r="D33" s="132"/>
      <c r="E33" s="133"/>
      <c r="F33" s="133"/>
      <c r="G33" s="134"/>
      <c r="H33" s="132"/>
      <c r="I33" s="133"/>
      <c r="J33" s="133"/>
      <c r="K33" s="134"/>
      <c r="L33" s="132"/>
      <c r="M33" s="133"/>
      <c r="N33" s="133"/>
      <c r="O33" s="134"/>
      <c r="P33" s="132"/>
      <c r="Q33" s="133"/>
      <c r="R33" s="133"/>
      <c r="S33" s="134"/>
      <c r="T33" s="132"/>
      <c r="U33" s="133"/>
      <c r="V33" s="133"/>
      <c r="W33" s="134"/>
      <c r="X33" s="132"/>
      <c r="Y33" s="133"/>
      <c r="Z33" s="133"/>
      <c r="AA33" s="134"/>
      <c r="AB33" s="132"/>
      <c r="AC33" s="133"/>
      <c r="AD33" s="133"/>
      <c r="AE33" s="134"/>
      <c r="AF33" s="132"/>
      <c r="AG33" s="133"/>
      <c r="AH33" s="133"/>
      <c r="AI33" s="134"/>
      <c r="AJ33" s="132"/>
      <c r="AK33" s="133"/>
      <c r="AL33" s="133"/>
      <c r="AM33" s="134"/>
      <c r="AN33" s="132"/>
      <c r="AO33" s="133"/>
      <c r="AP33" s="133"/>
      <c r="AQ33" s="134"/>
      <c r="AR33" s="222"/>
      <c r="AS33" s="207"/>
      <c r="AT33" s="207"/>
    </row>
    <row r="34" spans="1:46" x14ac:dyDescent="0.25">
      <c r="A34" s="206">
        <v>16</v>
      </c>
      <c r="B34" s="208" t="s">
        <v>212</v>
      </c>
      <c r="C34" s="99" t="s">
        <v>197</v>
      </c>
      <c r="D34" s="130"/>
      <c r="E34" s="112"/>
      <c r="F34" s="112"/>
      <c r="G34" s="131"/>
      <c r="H34" s="130"/>
      <c r="I34" s="112"/>
      <c r="J34" s="112"/>
      <c r="K34" s="131"/>
      <c r="L34" s="130"/>
      <c r="M34" s="112"/>
      <c r="N34" s="112"/>
      <c r="O34" s="131"/>
      <c r="P34" s="130"/>
      <c r="Q34" s="112"/>
      <c r="R34" s="112"/>
      <c r="S34" s="131"/>
      <c r="T34" s="130"/>
      <c r="U34" s="112"/>
      <c r="V34" s="112"/>
      <c r="W34" s="131"/>
      <c r="X34" s="130"/>
      <c r="Y34" s="112"/>
      <c r="Z34" s="112"/>
      <c r="AA34" s="131"/>
      <c r="AB34" s="130"/>
      <c r="AC34" s="112"/>
      <c r="AD34" s="112"/>
      <c r="AE34" s="131"/>
      <c r="AF34" s="130"/>
      <c r="AG34" s="112"/>
      <c r="AH34" s="112"/>
      <c r="AI34" s="105"/>
      <c r="AJ34" s="130"/>
      <c r="AK34" s="112"/>
      <c r="AL34" s="112"/>
      <c r="AM34" s="131"/>
      <c r="AN34" s="130"/>
      <c r="AO34" s="112"/>
      <c r="AP34" s="112"/>
      <c r="AQ34" s="131"/>
      <c r="AR34" s="221"/>
      <c r="AS34" s="206">
        <v>0.05</v>
      </c>
      <c r="AT34" s="206">
        <f t="shared" si="9"/>
        <v>0</v>
      </c>
    </row>
    <row r="35" spans="1:46" ht="18.600000000000001" thickBot="1" x14ac:dyDescent="0.3">
      <c r="A35" s="207"/>
      <c r="B35" s="209"/>
      <c r="C35" s="107" t="s">
        <v>193</v>
      </c>
      <c r="D35" s="132"/>
      <c r="E35" s="133"/>
      <c r="F35" s="133"/>
      <c r="G35" s="134"/>
      <c r="H35" s="132"/>
      <c r="I35" s="133"/>
      <c r="J35" s="133"/>
      <c r="K35" s="134"/>
      <c r="L35" s="132"/>
      <c r="M35" s="133"/>
      <c r="N35" s="133"/>
      <c r="O35" s="134"/>
      <c r="P35" s="132"/>
      <c r="Q35" s="133"/>
      <c r="R35" s="133"/>
      <c r="S35" s="134"/>
      <c r="T35" s="132"/>
      <c r="U35" s="133"/>
      <c r="V35" s="133"/>
      <c r="W35" s="134"/>
      <c r="X35" s="132"/>
      <c r="Y35" s="133"/>
      <c r="Z35" s="133"/>
      <c r="AA35" s="134"/>
      <c r="AB35" s="132"/>
      <c r="AC35" s="133"/>
      <c r="AD35" s="133"/>
      <c r="AE35" s="134"/>
      <c r="AF35" s="132"/>
      <c r="AG35" s="133"/>
      <c r="AH35" s="133"/>
      <c r="AI35" s="134"/>
      <c r="AJ35" s="132"/>
      <c r="AK35" s="133"/>
      <c r="AL35" s="133"/>
      <c r="AM35" s="134"/>
      <c r="AN35" s="132"/>
      <c r="AO35" s="133"/>
      <c r="AP35" s="133"/>
      <c r="AQ35" s="134"/>
      <c r="AR35" s="222"/>
      <c r="AS35" s="207"/>
      <c r="AT35" s="207"/>
    </row>
    <row r="36" spans="1:46" ht="24" customHeight="1" thickBot="1" x14ac:dyDescent="0.3">
      <c r="A36" s="210" t="s">
        <v>213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2"/>
      <c r="AT36" s="126">
        <f>SUM(AT4:AT35)</f>
        <v>8.5</v>
      </c>
    </row>
  </sheetData>
  <mergeCells count="98">
    <mergeCell ref="AT34:AT35"/>
    <mergeCell ref="A36:AS36"/>
    <mergeCell ref="A30:A31"/>
    <mergeCell ref="B30:B31"/>
    <mergeCell ref="AR30:AR31"/>
    <mergeCell ref="AS30:AS31"/>
    <mergeCell ref="A34:A35"/>
    <mergeCell ref="B34:B35"/>
    <mergeCell ref="AR34:AR35"/>
    <mergeCell ref="AS34:AS35"/>
    <mergeCell ref="AT30:AT31"/>
    <mergeCell ref="A32:A33"/>
    <mergeCell ref="B32:B33"/>
    <mergeCell ref="AR32:AR33"/>
    <mergeCell ref="AS32:AS33"/>
    <mergeCell ref="AT32:AT33"/>
    <mergeCell ref="A26:A27"/>
    <mergeCell ref="B26:B27"/>
    <mergeCell ref="AR26:AR27"/>
    <mergeCell ref="AS26:AS27"/>
    <mergeCell ref="AT26:AT27"/>
    <mergeCell ref="A28:A29"/>
    <mergeCell ref="B28:B29"/>
    <mergeCell ref="AR28:AR29"/>
    <mergeCell ref="AS28:AS29"/>
    <mergeCell ref="AT28:AT29"/>
    <mergeCell ref="A22:A23"/>
    <mergeCell ref="B22:B23"/>
    <mergeCell ref="AR22:AR23"/>
    <mergeCell ref="AS22:AS23"/>
    <mergeCell ref="AT22:AT23"/>
    <mergeCell ref="A24:A25"/>
    <mergeCell ref="B24:B25"/>
    <mergeCell ref="AR24:AR25"/>
    <mergeCell ref="AS24:AS25"/>
    <mergeCell ref="AT24:AT25"/>
    <mergeCell ref="A18:A19"/>
    <mergeCell ref="B18:B19"/>
    <mergeCell ref="AR18:AR19"/>
    <mergeCell ref="AS18:AS19"/>
    <mergeCell ref="AT18:AT19"/>
    <mergeCell ref="A20:A21"/>
    <mergeCell ref="B20:B21"/>
    <mergeCell ref="AR20:AR21"/>
    <mergeCell ref="AS20:AS21"/>
    <mergeCell ref="AT20:AT21"/>
    <mergeCell ref="A14:A15"/>
    <mergeCell ref="B14:B15"/>
    <mergeCell ref="AR14:AR15"/>
    <mergeCell ref="AS14:AS15"/>
    <mergeCell ref="AT14:AT15"/>
    <mergeCell ref="A16:A17"/>
    <mergeCell ref="B16:B17"/>
    <mergeCell ref="AR16:AR17"/>
    <mergeCell ref="AS16:AS17"/>
    <mergeCell ref="AT16:AT17"/>
    <mergeCell ref="A10:A11"/>
    <mergeCell ref="B10:B11"/>
    <mergeCell ref="AR10:AR11"/>
    <mergeCell ref="AS10:AS11"/>
    <mergeCell ref="AT10:AT11"/>
    <mergeCell ref="A12:A13"/>
    <mergeCell ref="B12:B13"/>
    <mergeCell ref="AR12:AR13"/>
    <mergeCell ref="AS12:AS13"/>
    <mergeCell ref="AT12:AT13"/>
    <mergeCell ref="AT8:AT9"/>
    <mergeCell ref="A6:A7"/>
    <mergeCell ref="B6:B7"/>
    <mergeCell ref="AR6:AR7"/>
    <mergeCell ref="AS6:AS7"/>
    <mergeCell ref="AT6:AT7"/>
    <mergeCell ref="AS2:AS3"/>
    <mergeCell ref="A8:A9"/>
    <mergeCell ref="B8:B9"/>
    <mergeCell ref="AR8:AR9"/>
    <mergeCell ref="AS8:AS9"/>
    <mergeCell ref="A4:A5"/>
    <mergeCell ref="B4:B5"/>
    <mergeCell ref="AR4:AR5"/>
    <mergeCell ref="AS4:AS5"/>
    <mergeCell ref="AR2:AR3"/>
    <mergeCell ref="AT4:AT5"/>
    <mergeCell ref="A1:AT1"/>
    <mergeCell ref="A2:A3"/>
    <mergeCell ref="B2:B3"/>
    <mergeCell ref="C2:C3"/>
    <mergeCell ref="D2:G2"/>
    <mergeCell ref="H2:K2"/>
    <mergeCell ref="L2:O2"/>
    <mergeCell ref="P2:S2"/>
    <mergeCell ref="T2:W2"/>
    <mergeCell ref="X2:AA2"/>
    <mergeCell ref="AT2:AT3"/>
    <mergeCell ref="AB2:AE2"/>
    <mergeCell ref="AF2:AI2"/>
    <mergeCell ref="AJ2:AM2"/>
    <mergeCell ref="AN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9</vt:i4>
      </vt:variant>
    </vt:vector>
  </HeadingPairs>
  <TitlesOfParts>
    <vt:vector size="18" baseType="lpstr">
      <vt:lpstr>สถานะสายส่ง (แนบ 1)</vt:lpstr>
      <vt:lpstr>สรุปสถานี (แนบ 2-1)</vt:lpstr>
      <vt:lpstr>รายละเอียดสถานี (แนบ 2-2)</vt:lpstr>
      <vt:lpstr>สถานะการขออนุญาต</vt:lpstr>
      <vt:lpstr>สาคร14</vt:lpstr>
      <vt:lpstr>สาคร18</vt:lpstr>
      <vt:lpstr>กาญ5</vt:lpstr>
      <vt:lpstr>สมุทรสาคร 18 (ช)</vt:lpstr>
      <vt:lpstr>กาญจนบุรี 5 (ช)</vt:lpstr>
      <vt:lpstr>กาญ5!Print_Area</vt:lpstr>
      <vt:lpstr>'รายละเอียดสถานี (แนบ 2-2)'!Print_Area</vt:lpstr>
      <vt:lpstr>สถานะการขออนุญาต!Print_Area</vt:lpstr>
      <vt:lpstr>'สถานะสายส่ง (แนบ 1)'!Print_Area</vt:lpstr>
      <vt:lpstr>'สรุปสถานี (แนบ 2-1)'!Print_Area</vt:lpstr>
      <vt:lpstr>สาคร14!Print_Area</vt:lpstr>
      <vt:lpstr>สาคร18!Print_Area</vt:lpstr>
      <vt:lpstr>'รายละเอียดสถานี (แนบ 2-2)'!Print_Titles</vt:lpstr>
      <vt:lpstr>'สถานะสายส่ง (แนบ 1)'!Print_Titles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ภูวดล สุขสงวน</dc:creator>
  <cp:keywords/>
  <dc:description/>
  <cp:lastModifiedBy>Puwadol Suksanguan</cp:lastModifiedBy>
  <cp:revision/>
  <cp:lastPrinted>2026-05-04T13:38:55Z</cp:lastPrinted>
  <dcterms:created xsi:type="dcterms:W3CDTF">2024-03-12T03:44:54Z</dcterms:created>
  <dcterms:modified xsi:type="dcterms:W3CDTF">2026-08-19T06:19:33Z</dcterms:modified>
  <cp:category/>
  <cp:contentStatus/>
</cp:coreProperties>
</file>